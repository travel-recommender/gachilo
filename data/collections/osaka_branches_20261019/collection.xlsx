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35df8b86f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지점별 수집" sheetId="1" r:id="R20e46ff1ba654980"/>
    <x:sheet xmlns:r="http://schemas.openxmlformats.org/officeDocument/2006/relationships" name="기존 중복 확인" sheetId="2" r:id="Rc380c569482246db"/>
    <x:sheet xmlns:r="http://schemas.openxmlformats.org/officeDocument/2006/relationships" name="보류·제외" sheetId="3" r:id="Rd3c1a17c3155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"/>
  </x:numFmts>
  <x:fonts count="8">
    <x:font>
      <x:sz val="11"/>
      <x:name val="Carlito"/>
    </x:font>
    <x:font>
      <x:sz val="11"/>
      <x:color rgb="FF243B53"/>
      <x:name val="Arial"/>
    </x:font>
    <x:font>
      <x:b/>
      <x:sz val="17"/>
      <x:color rgb="FF243B53"/>
      <x:name val="Arial"/>
    </x:font>
    <x:font>
      <x:b/>
      <x:sz val="12"/>
      <x:color rgb="FF243B53"/>
      <x:name val="Arial"/>
    </x:font>
    <x:font>
      <x:b/>
      <x:sz val="15"/>
      <x:color rgb="FF243B53"/>
      <x:name val="Arial"/>
    </x:font>
    <x:font>
      <x:b/>
      <x:sz val="11"/>
      <x:color rgb="FFFFFFFF"/>
      <x:name val="Arial"/>
    </x:font>
    <x:font>
      <x:sz val="11"/>
      <x:color rgb="FF2255A4"/>
      <x:name val="Arial"/>
    </x:font>
    <x:font>
      <x:b/>
      <x:sz val="16"/>
      <x:color rgb="FF243B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2" fontId="6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94e0c820c4f74" /><Relationship Type="http://schemas.openxmlformats.org/officeDocument/2006/relationships/theme" Target="/xl/theme/theme1.xml" Id="R575f2c9e17e14529" /><Relationship Type="http://schemas.openxmlformats.org/officeDocument/2006/relationships/sharedStrings" Target="/xl/sharedStrings.xml" Id="R91c727708c954fba" /><Relationship Type="http://schemas.openxmlformats.org/officeDocument/2006/relationships/worksheet" Target="/xl/worksheets/sheet1.xml" Id="R20e46ff1ba654980" /><Relationship Type="http://schemas.openxmlformats.org/officeDocument/2006/relationships/worksheet" Target="/xl/worksheets/sheet2.xml" Id="Rc380c569482246db" /><Relationship Type="http://schemas.openxmlformats.org/officeDocument/2006/relationships/worksheet" Target="/xl/worksheets/sheet3.xml" Id="Rd3c1a17c31554574" /></Relationships>
</file>

<file path=xl/tables/table1.xml><?xml version="1.0" encoding="utf-8"?>
<x:table xmlns:x="http://schemas.openxmlformats.org/spreadsheetml/2006/main" id="1" name="BranchCollection" displayName="BranchCollection" ref="A9:Y87" headerRowCount="1" totalsRowCount="0" totalsRowShown="0">
  <x:tableColumns count="25">
    <x:tableColumn id="1" name="수집 ID&#10;통합 전 임시 식별자"/>
    <x:tableColumn id="2" name="작업 구분"/>
    <x:tableColumn id="3" name="브랜드"/>
    <x:tableColumn id="4" name="표시 이름&#10;지점 포함"/>
    <x:tableColumn id="5" name="공식 지점명"/>
    <x:tableColumn id="6" name="권역"/>
    <x:tableColumn id="7" name="카테고리"/>
    <x:tableColumn id="8" name="세부 유형&#10;작업 분류"/>
    <x:tableColumn id="9" name="공식 주소&#10;건물·층 포함"/>
    <x:tableColumn id="10" name="현재 안내 시간&#10;일본 현지시각"/>
    <x:tableColumn id="11" name="휴무·주문 마감&#10;예외·입장 조건"/>
    <x:tableColumn id="12" name="기준 요금&#10;JPY / 엔"/>
    <x:tableColumn id="13" name="요금 기준·조건&#10;구매액과 구분"/>
    <x:tableColumn id="14" name="공식 출처 URL&#10;주소·시간·요금 근거"/>
    <x:tableColumn id="15" name="출처 종류"/>
    <x:tableColumn id="16" name="자료 확인일"/>
    <x:tableColumn id="17" name="추가 확인 사항&#10;일정 투입 전"/>
    <x:tableColumn id="18" name="기존 장소 ID&#10;보완인 경우만"/>
    <x:tableColumn id="19" name="실제 입구 지도 URL&#10;추가 입력"/>
    <x:tableColumn id="20" name="주요 이용 공간&#10;추가 입력"/>
    <x:tableColumn id="21" name="예상 체류시간&#10;분 / 선택 입력"/>
    <x:tableColumn id="22" name="체류시간 근거&#10;공식·직접·추정 구분"/>
    <x:tableColumn id="23" name="계획 구매액&#10;JPY / 개인별 선택"/>
    <x:tableColumn id="24" name="추가 근거·수정 메모&#10;출처 URL·확인 날짜"/>
    <x:tableColumn id="25" name="검색 표기 후보&#10;지점명 유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Matches" displayName="ExistingMatches" ref="A6:F9" headerRowCount="1" totalsRowCount="0" totalsRowShown="0">
  <x:tableColumns count="6">
    <x:tableColumn id="1" name="기존 장소 ID"/>
    <x:tableColumn id="2" name="기존 표시 이름"/>
    <x:tableColumn id="3" name="기존 주소"/>
    <x:tableColumn id="4" name="이번 표시 이름"/>
    <x:tableColumn id="5" name="처리·관계"/>
    <x:tableColumn id="6" name="이번 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ldPlaces" displayName="HeldPlaces" ref="A6:H8" headerRowCount="1" totalsRowCount="0" totalsRowShown="0">
  <x:tableColumns count="8">
    <x:tableColumn id="1" name="표시 이름"/>
    <x:tableColumn id="2" name="공식 이름"/>
    <x:tableColumn id="3" name="현재 처리"/>
    <x:tableColumn id="4" name="주소"/>
    <x:tableColumn id="5" name="이유·확인 범위"/>
    <x:tableColumn id="6" name="다음 확인"/>
    <x:tableColumn id="7" name="출처 URL"/>
    <x:tableColumn id="8" name="자료 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43bd5ddb744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e360caf59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e0c86190014881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9" hidden="0" customWidth="1"/>
    <x:col min="4" max="4" width="35" hidden="0" customWidth="1"/>
    <x:col min="5" max="5" width="38" hidden="0" customWidth="1"/>
    <x:col min="6" max="6" width="20" hidden="0" customWidth="1"/>
    <x:col min="7" max="7" width="16" hidden="0" customWidth="1"/>
    <x:col min="8" max="8" width="28" hidden="0" customWidth="1"/>
    <x:col min="9" max="9" width="49" hidden="0" customWidth="1"/>
    <x:col min="10" max="10" width="39" hidden="0" customWidth="1"/>
    <x:col min="11" max="11" width="64" hidden="0" customWidth="1"/>
    <x:col min="12" max="12" width="18" hidden="0" customWidth="1"/>
    <x:col min="13" max="13" width="66" hidden="0" customWidth="1"/>
    <x:col min="14" max="14" width="65" hidden="0" customWidth="1"/>
    <x:col min="15" max="15" width="35" hidden="0" customWidth="1"/>
    <x:col min="16" max="16" width="20" hidden="0" customWidth="1"/>
    <x:col min="17" max="17" width="72" hidden="0" customWidth="1"/>
    <x:col min="18" max="18" width="31" hidden="0" customWidth="1"/>
    <x:col min="19" max="19" width="42" hidden="0" customWidth="1"/>
    <x:col min="20" max="20" width="21" hidden="0" customWidth="1"/>
    <x:col min="21" max="21" width="22" hidden="0" customWidth="1"/>
    <x:col min="22" max="22" width="41" hidden="0" customWidth="1"/>
    <x:col min="23" max="23" width="22" hidden="0" customWidth="1"/>
    <x:col min="24" max="24" width="55" hidden="0" customWidth="1"/>
    <x:col min="25" max="25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5" customHeight="1">
      <x:c r="A2" s="3" t="str">
        <x:v>오사카 지점별 추가 수집 · 쇼핑과 음식점</x:v>
      </x:c>
      <x:c r="B2" s="2"/>
      <x:c r="C2" s="2"/>
      <x:c r="D2" s="2"/>
      <x:c r="E2" s="2"/>
      <x:c r="F2" s="2"/>
      <x:c r="G2" s="2"/>
      <x:c r="H2" s="2"/>
      <x:c r="I2" s="6" t="str">
        <x:v>지점별 차이를 그대로 기록</x:v>
      </x:c>
      <x:c r="J2" s="2"/>
      <x:c r="K2" s="2"/>
      <x:c r="L2" s="2"/>
      <x:c r="M2" s="2"/>
      <x:c r="N2" s="2"/>
      <x:c r="O2" s="2"/>
      <x:c r="P2" s="2"/>
      <x:c r="Q2" s="2"/>
      <x:c r="R2" s="2"/>
      <x:c r="S2" s="6" t="str">
        <x:v>조은님 추가 입력</x:v>
      </x:c>
      <x:c r="T2" s="2"/>
      <x:c r="U2" s="2"/>
      <x:c r="V2" s="2"/>
      <x:c r="W2" s="2"/>
      <x:c r="X2" s="2"/>
      <x:c r="Y2" s="2"/>
    </x:row>
    <x:row r="3" ht="25" customHeight="1">
      <x:c r="A3" s="2" t="str">
        <x:v>브랜드가 같아도 실제 지점마다 한 행이에요. 이전20건을 유지하고38건을 추가·보완했어요. 150곳 상한은 없어요.</x:v>
      </x:c>
      <x:c r="B3" s="2"/>
      <x:c r="C3" s="2"/>
      <x:c r="D3" s="2"/>
      <x:c r="E3" s="2"/>
      <x:c r="F3" s="2"/>
      <x:c r="G3" s="2"/>
      <x:c r="H3" s="2"/>
      <x:c r="I3" s="2" t="str">
        <x:v>권역은 임시 작업 분류예요. 시설 관계·끼니 역할·분류 ID 등 구조화 검토 항목은 branches.json과 README를 함께 확인해 주세요.</x:v>
      </x:c>
      <x:c r="J3" s="2"/>
      <x:c r="K3" s="2"/>
      <x:c r="L3" s="2"/>
      <x:c r="M3" s="2"/>
      <x:c r="N3" s="2"/>
      <x:c r="O3" s="2"/>
      <x:c r="P3" s="2"/>
      <x:c r="Q3" s="2"/>
      <x:c r="R3" s="2"/>
      <x:c r="S3" s="2" t="str">
        <x:v>S~X 연노랑 칸에 입구 링크·주요 공간·체류시간·추가 근거를 적어 주세요. 모르면 비워 둬도 돼요.</x:v>
      </x:c>
      <x:c r="T3" s="2"/>
      <x:c r="U3" s="2"/>
      <x:c r="V3" s="2"/>
      <x:c r="W3" s="2"/>
      <x:c r="X3" s="2"/>
      <x:c r="Y3" s="2"/>
    </x:row>
    <x:row r="4" ht="25" customHeight="1">
      <x:c r="A4" s="2" t="str">
        <x:v>신규 후보</x:v>
      </x:c>
      <x:c r="B4" s="5" t="n">
        <x:f>COUNTIFS(B10:B87,"신규 후보")</x:f>
        <x:v>55</x:v>
      </x:c>
      <x:c r="C4" s="2" t="str">
        <x:v>기존 보완</x:v>
      </x:c>
      <x:c r="D4" s="5" t="n">
        <x:f>COUNTIFS(B10:B87,"보완")</x:f>
        <x:v>3</x:v>
      </x:c>
      <x:c r="E4" s="2" t="str">
        <x:v>음식 관련 지점</x:v>
      </x:c>
      <x:c r="F4" s="5" t="n">
        <x:f>COUNTIFS(G10:G87,"식사")</x:f>
        <x:v>15</x:v>
      </x:c>
      <x:c r="G4" s="2"/>
      <x:c r="H4" s="2"/>
      <x:c r="I4" s="2" t="str">
        <x:v>식당은 주문 마감·휴식시간·예약 조건을 구분해요. 본점 가격을 다른 지점에 그대로 복사하지 않아요.</x:v>
      </x:c>
      <x:c r="J4" s="2"/>
      <x:c r="K4" s="2"/>
      <x:c r="L4" s="2"/>
      <x:c r="M4" s="2"/>
      <x:c r="N4" s="2"/>
      <x:c r="O4" s="2"/>
      <x:c r="P4" s="2"/>
      <x:c r="Q4" s="2"/>
      <x:c r="R4" s="2"/>
      <x:c r="S4" s="2" t="str">
        <x:v>어느 항목을 확인했는지, 출처 URL과 확인 날짜를 함께 적으면 다음 통합 때 반영할 수 있어요.</x:v>
      </x:c>
      <x:c r="T4" s="2"/>
      <x:c r="U4" s="2"/>
      <x:c r="V4" s="2"/>
      <x:c r="W4" s="2"/>
      <x:c r="X4" s="2"/>
      <x:c r="Y4" s="2"/>
    </x:row>
    <x:row r="5" ht="25" customHeight="1">
      <x:c r="A5" s="2" t="str">
        <x:v>공식 자료를 모은 수집 후보예요. 모든 지점의 입구·좌표·가격·이용 조건 검증을 마친 서비스용 확정본은 아니에요.</x:v>
      </x:c>
      <x:c r="B5" s="2"/>
      <x:c r="C5" s="2"/>
      <x:c r="D5" s="2"/>
      <x:c r="E5" s="2"/>
      <x:c r="F5" s="2"/>
      <x:c r="G5" s="2"/>
      <x:c r="H5" s="2"/>
      <x:c r="I5" s="2" t="str">
        <x:v>백화점과 입점 매장, 꼼데가르송과 내부 BAPE처럼 같은 시설 안의 장소는 중복 이동·체류 계산을 막아야 해요.</x:v>
      </x:c>
      <x:c r="J5" s="2"/>
      <x:c r="K5" s="2"/>
      <x:c r="L5" s="2"/>
      <x:c r="M5" s="2"/>
      <x:c r="N5" s="2"/>
      <x:c r="O5" s="2"/>
      <x:c r="P5" s="2"/>
      <x:c r="Q5" s="2"/>
      <x:c r="R5" s="2"/>
      <x:c r="S5" s="2" t="str">
        <x:v>공간은 실내/야외/혼합 중 실제 이용 구역 기준. 업종만으로 추정하지 않아요. 구매액은 선택 입력이에요.</x:v>
      </x:c>
      <x:c r="T5" s="2"/>
      <x:c r="U5" s="2"/>
      <x:c r="V5" s="2"/>
      <x:c r="W5" s="2"/>
      <x:c r="X5" s="2"/>
      <x:c r="Y5" s="2"/>
    </x:row>
    <x:row r="6" ht="25" customHeight="1">
      <x:c r="A6" s="2" t="str">
        <x:v>필터에서 브랜드·권역·유형을 골라 볼 수 있어요. 아래 빈 행에 더 추가해도 돼요. 표의 행 수는 수집 제한이 아니에요.</x:v>
      </x:c>
      <x:c r="B6" s="2"/>
      <x:c r="C6" s="2"/>
      <x:c r="D6" s="2"/>
      <x:c r="E6" s="2"/>
      <x:c r="F6" s="2"/>
      <x:c r="G6" s="2"/>
      <x:c r="H6" s="2"/>
      <x:c r="I6" s="2" t="str">
        <x:v>미확인 값은 빈칸이에요. 쇼핑 입장료와 상품 구매액은 달라서 예상 지출에 일괄0원을 넣지 않았어요.</x:v>
      </x:c>
      <x:c r="J6" s="2"/>
      <x:c r="K6" s="2"/>
      <x:c r="L6" s="2"/>
      <x:c r="M6" s="2"/>
      <x:c r="N6" s="2"/>
      <x:c r="O6" s="2"/>
      <x:c r="P6" s="2"/>
      <x:c r="Q6" s="2"/>
      <x:c r="R6" s="2"/>
      <x:c r="S6" s="2" t="str">
        <x:v>프리쿠라는 기종별 요금·입장 대상·동반 제한을 먼저 확인해요. 모르는 제한을 “없음”으로 기록하지 않아요.</x:v>
      </x:c>
      <x:c r="T6" s="2"/>
      <x:c r="U6" s="2"/>
      <x:c r="V6" s="2"/>
      <x:c r="W6" s="2"/>
      <x:c r="X6" s="2"/>
      <x:c r="Y6" s="2"/>
    </x:row>
    <x:row r="7" ht="25" customHeight="1">
      <x:c r="A7" s="2" t="str">
        <x:v>음식15지점에는 식당12곳·포장 구매1곳·타코야키 간식2곳이 포함돼요. 간식·포장을 착석 한 끼 식당으로 세지 않아요.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ht="54" customHeight="1">
      <x:c r="A9" s="10" t="str">
        <x:v>수집 ID
통합 전 임시 식별자</x:v>
      </x:c>
      <x:c r="B9" s="10" t="str">
        <x:v>작업 구분</x:v>
      </x:c>
      <x:c r="C9" s="10" t="str">
        <x:v>브랜드</x:v>
      </x:c>
      <x:c r="D9" s="10" t="str">
        <x:v>표시 이름
지점 포함</x:v>
      </x:c>
      <x:c r="E9" s="10" t="str">
        <x:v>공식 지점명</x:v>
      </x:c>
      <x:c r="F9" s="10" t="str">
        <x:v>권역</x:v>
      </x:c>
      <x:c r="G9" s="10" t="str">
        <x:v>카테고리</x:v>
      </x:c>
      <x:c r="H9" s="10" t="str">
        <x:v>세부 유형
작업 분류</x:v>
      </x:c>
      <x:c r="I9" s="10" t="str">
        <x:v>공식 주소
건물·층 포함</x:v>
      </x:c>
      <x:c r="J9" s="10" t="str">
        <x:v>현재 안내 시간
일본 현지시각</x:v>
      </x:c>
      <x:c r="K9" s="10" t="str">
        <x:v>휴무·주문 마감
예외·입장 조건</x:v>
      </x:c>
      <x:c r="L9" s="10" t="str">
        <x:v>기준 요금
JPY / 엔</x:v>
      </x:c>
      <x:c r="M9" s="10" t="str">
        <x:v>요금 기준·조건
구매액과 구분</x:v>
      </x:c>
      <x:c r="N9" s="10" t="str">
        <x:v>공식 출처 URL
주소·시간·요금 근거</x:v>
      </x:c>
      <x:c r="O9" s="10" t="str">
        <x:v>출처 종류</x:v>
      </x:c>
      <x:c r="P9" s="10" t="str">
        <x:v>자료 확인일</x:v>
      </x:c>
      <x:c r="Q9" s="10" t="str">
        <x:v>추가 확인 사항
일정 투입 전</x:v>
      </x:c>
      <x:c r="R9" s="10" t="str">
        <x:v>기존 장소 ID
보완인 경우만</x:v>
      </x:c>
      <x:c r="S9" s="10" t="str">
        <x:v>실제 입구 지도 URL
추가 입력</x:v>
      </x:c>
      <x:c r="T9" s="10" t="str">
        <x:v>주요 이용 공간
추가 입력</x:v>
      </x:c>
      <x:c r="U9" s="10" t="str">
        <x:v>예상 체류시간
분 / 선택 입력</x:v>
      </x:c>
      <x:c r="V9" s="10" t="str">
        <x:v>체류시간 근거
공식·직접·추정 구분</x:v>
      </x:c>
      <x:c r="W9" s="10" t="str">
        <x:v>계획 구매액
JPY / 개인별 선택</x:v>
      </x:c>
      <x:c r="X9" s="10" t="str">
        <x:v>추가 근거·수정 메모
출처 URL·확인 날짜</x:v>
      </x:c>
      <x:c r="Y9" s="10" t="str">
        <x:v>검색 표기 후보
지점명 유지</x:v>
      </x:c>
    </x:row>
    <x:row r="10" ht="115" customHeight="1">
      <x:c r="A10" s="13" t="str">
        <x:v>branch_ichiran_shinsaibashi</x:v>
      </x:c>
      <x:c r="B10" s="13" t="str">
        <x:v>신규 후보</x:v>
      </x:c>
      <x:c r="C10" s="13" t="str">
        <x:v>이치란</x:v>
      </x:c>
      <x:c r="D10" s="13" t="str">
        <x:v>이치란 신사이바시점</x:v>
      </x:c>
      <x:c r="E10" s="13" t="str">
        <x:v>一蘭 心斎橋店</x:v>
      </x:c>
      <x:c r="F10" s="13" t="str">
        <x:v>신사이바시</x:v>
      </x:c>
      <x:c r="G10" s="13" t="str">
        <x:v>식사</x:v>
      </x:c>
      <x:c r="H10" s="13" t="str">
        <x:v>라멘</x:v>
      </x:c>
      <x:c r="I10" s="13" t="str">
        <x:v>大阪府大阪市中央区心斎橋筋1-3-29 ミヤプラザ心斎橋1F</x:v>
      </x:c>
      <x:c r="J10" s="13" t="str">
        <x:v>10:00~익일06:00</x:v>
      </x:c>
      <x:c r="K10" s="13" t="str">
        <x:v>주문 마감 익일05:45; 인력 사정에 따른 변경 가능</x:v>
      </x:c>
      <x:c r="L10" s="19" t="n">
        <x:v>1180</x:v>
      </x:c>
      <x:c r="M10" s="13" t="str">
        <x:v>천연 돈코츠 라멘 1그릇 표시가. 토핑·음료 별도. 22:00~익일06:00 심야 추가요금은 금액 확인 필요; 세금 표시도 재확인.</x:v>
      </x:c>
      <x:c r="N10" s="13" t="str">
        <x:v>https://ichiran.com/shop/kinki/shinsaibashi/</x:v>
      </x:c>
      <x:c r="O10" s="13" t="str">
        <x:v>official_web_review</x:v>
      </x:c>
      <x:c r="P10" s="21" t="d">
        <x:v>2026-10-19T00:00:00.000Z</x:v>
      </x:c>
      <x:c r="Q10" s="13" t="str">
        <x:v>실제 입구·좌표, 주요 공간, 체류·대기시간 확인. 혼잡 시 주문 마감 전 입장 제한 가능. 휴업·예외일은 방문일에 재확인.</x:v>
      </x:c>
      <x:c r="R10" s="13"/>
      <x:c r="S10" s="15"/>
      <x:c r="T10" s="15"/>
      <x:c r="U10" s="23"/>
      <x:c r="V10" s="15"/>
      <x:c r="W10" s="20"/>
      <x:c r="X10" s="15"/>
      <x:c r="Y10" s="13" t="str">
        <x:v>이치란 신사이바시점 | ICHIRAN Shinsaibashi | 一蘭 心斎橋店</x:v>
      </x:c>
    </x:row>
    <x:row r="11" ht="115" customHeight="1">
      <x:c r="A11" s="13" t="str">
        <x:v>branch_ichiran_namba_midosuji</x:v>
      </x:c>
      <x:c r="B11" s="13" t="str">
        <x:v>신규 후보</x:v>
      </x:c>
      <x:c r="C11" s="13" t="str">
        <x:v>이치란</x:v>
      </x:c>
      <x:c r="D11" s="13" t="str">
        <x:v>이치란 난바 미도스지점</x:v>
      </x:c>
      <x:c r="E11" s="13" t="str">
        <x:v>一蘭 なんば御堂筋店</x:v>
      </x:c>
      <x:c r="F11" s="13" t="str">
        <x:v>난바·도톤보리</x:v>
      </x:c>
      <x:c r="G11" s="13" t="str">
        <x:v>식사</x:v>
      </x:c>
      <x:c r="H11" s="13" t="str">
        <x:v>돼지고기 불사용 라멘</x:v>
      </x:c>
      <x:c r="I11" s="13" t="str">
        <x:v>大阪府大阪市中央区心斎橋筋2丁目4-2 グルカスシティビル 2F</x:v>
      </x:c>
      <x:c r="J11" s="13" t="str">
        <x:v>09:00~22:00</x:v>
      </x:c>
      <x:c r="K11" s="13" t="str">
        <x:v>주문 마감21:45; 혼잡 시 번호표 배부. 과거8/16 특별시간은 현재 규칙으로 미적용</x:v>
      </x:c>
      <x:c r="L11" s="19" t="n">
        <x:v>1280</x:v>
      </x:c>
      <x:c r="M11" s="13" t="str">
        <x:v>100% 돈코츠 불사용 라멘 1그릇 표시가. 비건·할랄 인증 메뉴가 아님. 제조시설의 돼지고기 미량 혼입 가능성 공지. 세금 표시 확인 필요.</x:v>
      </x:c>
      <x:c r="N11" s="13" t="str">
        <x:v>https://ichiran.com/np/shop/kinki/namba-midosuji.html</x:v>
      </x:c>
      <x:c r="O11" s="13" t="str">
        <x:v>official_web_review</x:v>
      </x:c>
      <x:c r="P11" s="21" t="d">
        <x:v>2026-10-19T00:00:00.000Z</x:v>
      </x:c>
      <x:c r="Q11" s="13" t="str">
        <x:v>실제 입구·좌표, 주요 공간, 체류·대기시간 확인. 혼잡 시 주문 마감 전 입장 제한 가능. 휴업·예외일은 방문일에 재확인.</x:v>
      </x:c>
      <x:c r="R11" s="13"/>
      <x:c r="S11" s="15"/>
      <x:c r="T11" s="15"/>
      <x:c r="U11" s="23"/>
      <x:c r="V11" s="15"/>
      <x:c r="W11" s="20"/>
      <x:c r="X11" s="15"/>
      <x:c r="Y11" s="13" t="str">
        <x:v>이치란 난바 미도스지점 | 이치란 남바 미도스지점 | ICHIRAN Namba Midosuji</x:v>
      </x:c>
    </x:row>
    <x:row r="12" ht="115" customHeight="1">
      <x:c r="A12" s="13" t="str">
        <x:v>branch_ichiran_umeda_hankyu</x:v>
      </x:c>
      <x:c r="B12" s="13" t="str">
        <x:v>신규 후보</x:v>
      </x:c>
      <x:c r="C12" s="13" t="str">
        <x:v>이치란</x:v>
      </x:c>
      <x:c r="D12" s="13" t="str">
        <x:v>이치란 우메다 한큐 히가시도리점</x:v>
      </x:c>
      <x:c r="E12" s="13" t="str">
        <x:v>一蘭 梅田阪急東通店</x:v>
      </x:c>
      <x:c r="F12" s="13" t="str">
        <x:v>우메다</x:v>
      </x:c>
      <x:c r="G12" s="13" t="str">
        <x:v>식사</x:v>
      </x:c>
      <x:c r="H12" s="13" t="str">
        <x:v>라멘</x:v>
      </x:c>
      <x:c r="I12" s="13" t="str">
        <x:v>大阪府大阪市北区堂山町3-13</x:v>
      </x:c>
      <x:c r="J12" s="13" t="str">
        <x:v>11:00~익일06:00</x:v>
      </x:c>
      <x:c r="K12" s="13" t="str">
        <x:v>주문 마감 익일05:45; 인력 사정에 따른 변경 가능</x:v>
      </x:c>
      <x:c r="L12" s="19" t="n">
        <x:v>1080</x:v>
      </x:c>
      <x:c r="M12" s="13" t="str">
        <x:v>천연 돈코츠 라멘 1그릇 표시가. 토핑·음료 별도. 22:00~익일06:00 심야 추가요금은 금액 확인 필요; 세금 표시도 재확인.</x:v>
      </x:c>
      <x:c r="N12" s="13" t="str">
        <x:v>https://ichiran.com/shop/kinki/umeda-hankyu/</x:v>
      </x:c>
      <x:c r="O12" s="13" t="str">
        <x:v>official_web_review</x:v>
      </x:c>
      <x:c r="P12" s="21" t="d">
        <x:v>2026-10-19T00:00:00.000Z</x:v>
      </x:c>
      <x:c r="Q12" s="13" t="str">
        <x:v>실제 입구·좌표, 주요 공간, 체류·대기시간 확인. 혼잡 시 주문 마감 전 입장 제한 가능. 휴업·예외일은 방문일에 재확인.</x:v>
      </x:c>
      <x:c r="R12" s="13"/>
      <x:c r="S12" s="15"/>
      <x:c r="T12" s="15"/>
      <x:c r="U12" s="23"/>
      <x:c r="V12" s="15"/>
      <x:c r="W12" s="20"/>
      <x:c r="X12" s="15"/>
      <x:c r="Y12" s="13" t="str">
        <x:v>이치란 우메다 한큐 히가시도리점 | ICHIRAN Umeda Hankyu Higashidori</x:v>
      </x:c>
    </x:row>
    <x:row r="13" ht="115" customHeight="1">
      <x:c r="A13" s="13" t="str">
        <x:v>branch_ichiran_umeda_shibata</x:v>
      </x:c>
      <x:c r="B13" s="13" t="str">
        <x:v>신규 후보</x:v>
      </x:c>
      <x:c r="C13" s="13" t="str">
        <x:v>이치란</x:v>
      </x:c>
      <x:c r="D13" s="13" t="str">
        <x:v>이치란 우메다 시바타점</x:v>
      </x:c>
      <x:c r="E13" s="13" t="str">
        <x:v>一蘭 梅田芝田店</x:v>
      </x:c>
      <x:c r="F13" s="13" t="str">
        <x:v>우메다</x:v>
      </x:c>
      <x:c r="G13" s="13" t="str">
        <x:v>식사</x:v>
      </x:c>
      <x:c r="H13" s="13" t="str">
        <x:v>라멘</x:v>
      </x:c>
      <x:c r="I13" s="13" t="str">
        <x:v>大阪府大阪市北区芝田1-3-1 ギャザ阪急B1F</x:v>
      </x:c>
      <x:c r="J13" s="13" t="str">
        <x:v>10:00~23:00</x:v>
      </x:c>
      <x:c r="K13" s="13" t="str">
        <x:v>주문 마감22:45; 2·4·6·8·10월 셋째 일요일 및1/1·1/2 시설 휴관</x:v>
      </x:c>
      <x:c r="L13" s="19" t="n">
        <x:v>1080</x:v>
      </x:c>
      <x:c r="M13" s="13" t="str">
        <x:v>천연 돈코츠 라멘 1그릇 표시가. 토핑·음료 별도. 세금·심야 추가요금 적용 여부는 지점별 재확인.</x:v>
      </x:c>
      <x:c r="N13" s="13" t="str">
        <x:v>https://ichiran.com/shop/kinki/umeda-shibata/</x:v>
      </x:c>
      <x:c r="O13" s="13" t="str">
        <x:v>official_web_review</x:v>
      </x:c>
      <x:c r="P13" s="21" t="d">
        <x:v>2026-10-19T00:00:00.000Z</x:v>
      </x:c>
      <x:c r="Q13" s="13" t="str">
        <x:v>실제 입구·좌표, 주요 공간, 체류·대기시간 확인. 혼잡 시 주문 마감 전 입장 제한 가능. 휴업·예외일은 방문일에 재확인.</x:v>
      </x:c>
      <x:c r="R13" s="13"/>
      <x:c r="S13" s="15"/>
      <x:c r="T13" s="15"/>
      <x:c r="U13" s="23"/>
      <x:c r="V13" s="15"/>
      <x:c r="W13" s="20"/>
      <x:c r="X13" s="15"/>
      <x:c r="Y13" s="13" t="str">
        <x:v>이치란 우메다 시바타점 | ICHIRAN Umeda Shibata</x:v>
      </x:c>
    </x:row>
    <x:row r="14" ht="115" customHeight="1">
      <x:c r="A14" s="13" t="str">
        <x:v>branch_ichiran_abeno</x:v>
      </x:c>
      <x:c r="B14" s="13" t="str">
        <x:v>신규 후보</x:v>
      </x:c>
      <x:c r="C14" s="13" t="str">
        <x:v>이치란</x:v>
      </x:c>
      <x:c r="D14" s="13" t="str">
        <x:v>이치란 아베노점</x:v>
      </x:c>
      <x:c r="E14" s="13" t="str">
        <x:v>一蘭 あべの店</x:v>
      </x:c>
      <x:c r="F14" s="13" t="str">
        <x:v>덴노지·아베노</x:v>
      </x:c>
      <x:c r="G14" s="13" t="str">
        <x:v>식사</x:v>
      </x:c>
      <x:c r="H14" s="13" t="str">
        <x:v>라멘</x:v>
      </x:c>
      <x:c r="I14" s="13" t="str">
        <x:v>大阪府大阪市阿倍野区阿倍野筋1-3-18 B1F</x:v>
      </x:c>
      <x:c r="J14" s="13" t="str">
        <x:v>10:00~23:00</x:v>
      </x:c>
      <x:c r="K14" s="13" t="str">
        <x:v>최종입장22:15; 주문 마감22:45; 인력 사정에 따른 변경 가능</x:v>
      </x:c>
      <x:c r="L14" s="19" t="n">
        <x:v>1080</x:v>
      </x:c>
      <x:c r="M14" s="13" t="str">
        <x:v>천연 돈코츠 라멘 1그릇 표시가. 토핑·음료 별도. 22:00~익일06:00 심야 추가요금은 금액 확인 필요; 세금 표시도 재확인.</x:v>
      </x:c>
      <x:c r="N14" s="13" t="str">
        <x:v>https://ichiran.com/shop/kinki/abeno/</x:v>
      </x:c>
      <x:c r="O14" s="13" t="str">
        <x:v>official_web_review</x:v>
      </x:c>
      <x:c r="P14" s="21" t="d">
        <x:v>2026-10-19T00:00:00.000Z</x:v>
      </x:c>
      <x:c r="Q14" s="13" t="str">
        <x:v>실제 입구·좌표, 주요 공간, 체류·대기시간 확인. 혼잡 시 주문 마감 전 입장 제한 가능. 휴업·예외일은 방문일에 재확인.</x:v>
      </x:c>
      <x:c r="R14" s="13"/>
      <x:c r="S14" s="15"/>
      <x:c r="T14" s="15"/>
      <x:c r="U14" s="23"/>
      <x:c r="V14" s="15"/>
      <x:c r="W14" s="20"/>
      <x:c r="X14" s="15"/>
      <x:c r="Y14" s="13" t="str">
        <x:v>이치란 아베노점 | ICHIRAN Abeno</x:v>
      </x:c>
    </x:row>
    <x:row r="15" ht="115" customHeight="1">
      <x:c r="A15" s="13" t="str">
        <x:v>branch_ichiran_dotonbori_south</x:v>
      </x:c>
      <x:c r="B15" s="13" t="str">
        <x:v>보완</x:v>
      </x:c>
      <x:c r="C15" s="13" t="str">
        <x:v>이치란</x:v>
      </x:c>
      <x:c r="D15" s="13" t="str">
        <x:v>이치란 도톤보리 별관</x:v>
      </x:c>
      <x:c r="E15" s="13" t="str">
        <x:v>一蘭 道頓堀店別館</x:v>
      </x:c>
      <x:c r="F15" s="13" t="str">
        <x:v>난바·도톤보리</x:v>
      </x:c>
      <x:c r="G15" s="13" t="str">
        <x:v>식사</x:v>
      </x:c>
      <x:c r="H15" s="13" t="str">
        <x:v>라멘</x:v>
      </x:c>
      <x:c r="I15" s="13" t="str">
        <x:v>大阪府大阪市中央区道頓堀1-4-16</x:v>
      </x:c>
      <x:c r="J15" s="13" t="str">
        <x:v>카운터24시간 / 테이블08:00~23:00</x:v>
      </x:c>
      <x:c r="K15" s="13" t="str">
        <x:v>좌석 유형별 시간이 다름. 과거 골든위크 특별시간은 현재 규칙으로 미적용</x:v>
      </x:c>
      <x:c r="L15" s="19" t="n">
        <x:v>1180</x:v>
      </x:c>
      <x:c r="M15" s="13" t="str">
        <x:v>천연 돈코츠 라멘 1그릇 표시가. 토핑·음료 별도. 22:00~익일06:00 심야 추가요금은 금액 확인 필요; 세금 표시도 재확인.</x:v>
      </x:c>
      <x:c r="N15" s="13" t="str">
        <x:v>https://ichiran.com/shop/kinki/dotonbori-south/</x:v>
      </x:c>
      <x:c r="O15" s="13" t="str">
        <x:v>official_web_review</x:v>
      </x:c>
      <x:c r="P15" s="21" t="d">
        <x:v>2026-10-19T00:00:00.000Z</x:v>
      </x:c>
      <x:c r="Q15" s="13" t="str">
        <x:v>기존 osaka_026 보완; 신규 등록 금지. 실제 입구·좌표, 주요 공간, 체류·대기시간 확인. 혼잡 시 주문 마감 전 입장 제한 가능. 휴업·예외일은 방문일에 재확인.</x:v>
      </x:c>
      <x:c r="R15" s="13" t="str">
        <x:v>osaka_026</x:v>
      </x:c>
      <x:c r="S15" s="15"/>
      <x:c r="T15" s="15"/>
      <x:c r="U15" s="23"/>
      <x:c r="V15" s="15"/>
      <x:c r="W15" s="20"/>
      <x:c r="X15" s="15"/>
      <x:c r="Y15" s="13" t="str">
        <x:v>이치란 도톤보리 별관 | 이치란 도톤보리점 별관 | ICHIRAN Dotonbori South</x:v>
      </x:c>
    </x:row>
    <x:row r="16" ht="115" customHeight="1">
      <x:c r="A16" s="13" t="str">
        <x:v>branch_donki_dotonbori</x:v>
      </x:c>
      <x:c r="B16" s="13" t="str">
        <x:v>신규 후보</x:v>
      </x:c>
      <x:c r="C16" s="13" t="str">
        <x:v>돈키호테</x:v>
      </x:c>
      <x:c r="D16" s="13" t="str">
        <x:v>돈키호테 도톤보리점</x:v>
      </x:c>
      <x:c r="E16" s="13" t="str">
        <x:v>ドン・キホーテ 道頓堀店</x:v>
      </x:c>
      <x:c r="F16" s="13" t="str">
        <x:v>난바·도톤보리</x:v>
      </x:c>
      <x:c r="G16" s="13" t="str">
        <x:v>쇼핑</x:v>
      </x:c>
      <x:c r="H16" s="13" t="str">
        <x:v>종합할인·기념품</x:v>
      </x:c>
      <x:c r="I16" s="13" t="str">
        <x:v>大阪府大阪市中央区宗右衛門町7-13</x:v>
      </x:c>
      <x:c r="J16" s="13" t="str">
        <x:v>24시간</x:v>
      </x:c>
      <x:c r="K16" s="13" t="str">
        <x:v>정기휴일 없음; 입점 전문점은 별도 시간</x:v>
      </x:c>
      <x:c r="L16" s="19"/>
      <x:c r="M16" s="13" t="str">
        <x:v>쇼핑 매장 방문. 입장료·상품 구매액은 별도 항목; 확인되지 않은 비용은 빈칸 유지.</x:v>
      </x:c>
      <x:c r="N16" s="13" t="str">
        <x:v>https://www.donki.com/store/shop_detail.php?shop_id=110</x:v>
      </x:c>
      <x:c r="O16" s="13" t="str">
        <x:v>official_web_review</x:v>
      </x:c>
      <x:c r="P16" s="21" t="d">
        <x:v>2026-10-19T00:00:00.000Z</x:v>
      </x:c>
      <x:c r="Q16" s="13" t="str">
        <x:v>소매 매장만 수집. 관람차 시간·요금과 분리. 실제 입구·좌표, 주요 공간, 체류시간 확인. 구매액은 개인 예산으로 별도 입력. 입장 무료를 예상 지출 0으로 바꾸지 않음.</x:v>
      </x:c>
      <x:c r="R16" s="13"/>
      <x:c r="S16" s="15"/>
      <x:c r="T16" s="15"/>
      <x:c r="U16" s="23"/>
      <x:c r="V16" s="15"/>
      <x:c r="W16" s="20"/>
      <x:c r="X16" s="15"/>
      <x:c r="Y16" s="13" t="str">
        <x:v>돈키호테 도톤보리점 | 돈키 도톤보리 | Don Quijote Dotonbori</x:v>
      </x:c>
    </x:row>
    <x:row r="17" ht="115" customHeight="1">
      <x:c r="A17" s="13" t="str">
        <x:v>branch_donki_dotonbori_midosuji</x:v>
      </x:c>
      <x:c r="B17" s="13" t="str">
        <x:v>신규 후보</x:v>
      </x:c>
      <x:c r="C17" s="13" t="str">
        <x:v>돈키호테</x:v>
      </x:c>
      <x:c r="D17" s="13" t="str">
        <x:v>돈키호테 도톤보리 미도스지점</x:v>
      </x:c>
      <x:c r="E17" s="13" t="str">
        <x:v>ドン・キホーテ 道頓堀御堂筋店</x:v>
      </x:c>
      <x:c r="F17" s="13" t="str">
        <x:v>난바·도톤보리</x:v>
      </x:c>
      <x:c r="G17" s="13" t="str">
        <x:v>쇼핑</x:v>
      </x:c>
      <x:c r="H17" s="13" t="str">
        <x:v>종합할인·기념품</x:v>
      </x:c>
      <x:c r="I17" s="13" t="str">
        <x:v>大阪府大阪市中央区西心斎橋2-5-9</x:v>
      </x:c>
      <x:c r="J17" s="13" t="str">
        <x:v>24시간</x:v>
      </x:c>
      <x:c r="K17" s="13" t="str">
        <x:v>정기휴일 없음; 입점 전문점은 별도 시간</x:v>
      </x:c>
      <x:c r="L17" s="19"/>
      <x:c r="M17" s="13" t="str">
        <x:v>쇼핑 매장 방문. 입장료·상품 구매액은 별도 항목; 확인되지 않은 비용은 빈칸 유지.</x:v>
      </x:c>
      <x:c r="N17" s="13" t="str">
        <x:v>https://www.donki.com/store/shop_detail.php?shop_id=373</x:v>
      </x:c>
      <x:c r="O17" s="13" t="str">
        <x:v>official_web_review</x:v>
      </x:c>
      <x:c r="P17" s="21" t="d">
        <x:v>2026-10-19T00:00:00.000Z</x:v>
      </x:c>
      <x:c r="Q17" s="13" t="str">
        <x:v>실제 입구·좌표, 주요 공간, 체류시간 확인. 구매액은 개인 예산으로 별도 입력. 입장 무료를 예상 지출 0으로 바꾸지 않음.</x:v>
      </x:c>
      <x:c r="R17" s="13"/>
      <x:c r="S17" s="15"/>
      <x:c r="T17" s="15"/>
      <x:c r="U17" s="23"/>
      <x:c r="V17" s="15"/>
      <x:c r="W17" s="20"/>
      <x:c r="X17" s="15"/>
      <x:c r="Y17" s="13" t="str">
        <x:v>돈키호테 도톤보리 미도스지점 | Don Quijote Dotonbori Midosuji</x:v>
      </x:c>
    </x:row>
    <x:row r="18" ht="115" customHeight="1">
      <x:c r="A18" s="13" t="str">
        <x:v>branch_donki_namba_sennichimae</x:v>
      </x:c>
      <x:c r="B18" s="13" t="str">
        <x:v>신규 후보</x:v>
      </x:c>
      <x:c r="C18" s="13" t="str">
        <x:v>돈키호테</x:v>
      </x:c>
      <x:c r="D18" s="13" t="str">
        <x:v>돈키호테 난바 센니치마에점</x:v>
      </x:c>
      <x:c r="E18" s="13" t="str">
        <x:v>ドン・キホーテ なんば千日前店</x:v>
      </x:c>
      <x:c r="F18" s="13" t="str">
        <x:v>난바·도톤보리</x:v>
      </x:c>
      <x:c r="G18" s="13" t="str">
        <x:v>쇼핑</x:v>
      </x:c>
      <x:c r="H18" s="13" t="str">
        <x:v>종합할인·기념품</x:v>
      </x:c>
      <x:c r="I18" s="13" t="str">
        <x:v>大阪府大阪市中央区難波千日前12-7</x:v>
      </x:c>
      <x:c r="J18" s="13" t="str">
        <x:v>09:00~익일04:00</x:v>
      </x:c>
      <x:c r="K18" s="13" t="str">
        <x:v>정기휴일 없음; 24시간 점포가 아님</x:v>
      </x:c>
      <x:c r="L18" s="19"/>
      <x:c r="M18" s="13" t="str">
        <x:v>쇼핑 매장 방문. 입장료·상품 구매액은 별도 항목; 확인되지 않은 비용은 빈칸 유지.</x:v>
      </x:c>
      <x:c r="N18" s="13" t="str">
        <x:v>https://www.donki.com/store/shop_detail.php?shop_id=419</x:v>
      </x:c>
      <x:c r="O18" s="13" t="str">
        <x:v>official_web_review</x:v>
      </x:c>
      <x:c r="P18" s="21" t="d">
        <x:v>2026-10-19T00:00:00.000Z</x:v>
      </x:c>
      <x:c r="Q18" s="13" t="str">
        <x:v>실제 입구·좌표, 주요 공간, 체류시간 확인. 구매액은 개인 예산으로 별도 입력. 입장 무료를 예상 지출 0으로 바꾸지 않음.</x:v>
      </x:c>
      <x:c r="R18" s="13"/>
      <x:c r="S18" s="15"/>
      <x:c r="T18" s="15"/>
      <x:c r="U18" s="23"/>
      <x:c r="V18" s="15"/>
      <x:c r="W18" s="20"/>
      <x:c r="X18" s="15"/>
      <x:c r="Y18" s="13" t="str">
        <x:v>돈키호테 난바 센니치마에점 | 돈키호테 남바 센니치마에점 | Don Quijote Namba Sennichimae</x:v>
      </x:c>
    </x:row>
    <x:row r="19" ht="115" customHeight="1">
      <x:c r="A19" s="13" t="str">
        <x:v>branch_donki_umeda</x:v>
      </x:c>
      <x:c r="B19" s="13" t="str">
        <x:v>신규 후보</x:v>
      </x:c>
      <x:c r="C19" s="13" t="str">
        <x:v>돈키호테</x:v>
      </x:c>
      <x:c r="D19" s="13" t="str">
        <x:v>돈키호테 우메다 본점</x:v>
      </x:c>
      <x:c r="E19" s="13" t="str">
        <x:v>ドン・キホーテ 梅田本店</x:v>
      </x:c>
      <x:c r="F19" s="13" t="str">
        <x:v>우메다</x:v>
      </x:c>
      <x:c r="G19" s="13" t="str">
        <x:v>쇼핑</x:v>
      </x:c>
      <x:c r="H19" s="13" t="str">
        <x:v>종합할인·기념품</x:v>
      </x:c>
      <x:c r="I19" s="13" t="str">
        <x:v>大阪府大阪市北区小松原町4-16</x:v>
      </x:c>
      <x:c r="J19" s="13" t="str">
        <x:v>24시간</x:v>
      </x:c>
      <x:c r="K19" s="13" t="str">
        <x:v>정기휴일 없음; 입점 전문점은 별도 시간</x:v>
      </x:c>
      <x:c r="L19" s="19"/>
      <x:c r="M19" s="13" t="str">
        <x:v>쇼핑 매장 방문. 입장료·상품 구매액은 별도 항목; 확인되지 않은 비용은 빈칸 유지.</x:v>
      </x:c>
      <x:c r="N19" s="13" t="str">
        <x:v>https://www.donki.com/store/shop_detail.php?shop_id=275</x:v>
      </x:c>
      <x:c r="O19" s="13" t="str">
        <x:v>official_web_review</x:v>
      </x:c>
      <x:c r="P19" s="21" t="d">
        <x:v>2026-10-19T00:00:00.000Z</x:v>
      </x:c>
      <x:c r="Q19" s="13" t="str">
        <x:v>실제 입구·좌표, 주요 공간, 체류시간 확인. 구매액은 개인 예산으로 별도 입력. 입장 무료를 예상 지출 0으로 바꾸지 않음.</x:v>
      </x:c>
      <x:c r="R19" s="13"/>
      <x:c r="S19" s="15"/>
      <x:c r="T19" s="15"/>
      <x:c r="U19" s="23"/>
      <x:c r="V19" s="15"/>
      <x:c r="W19" s="20"/>
      <x:c r="X19" s="15"/>
      <x:c r="Y19" s="13" t="str">
        <x:v>돈키호테 우메다 본점 | 돈키 우메다 | Don Quijote Umeda</x:v>
      </x:c>
    </x:row>
    <x:row r="20" ht="115" customHeight="1">
      <x:c r="A20" s="13" t="str">
        <x:v>branch_gu_shinsaibashi</x:v>
      </x:c>
      <x:c r="B20" s="13" t="str">
        <x:v>신규 후보</x:v>
      </x:c>
      <x:c r="C20" s="13" t="str">
        <x:v>GU</x:v>
      </x:c>
      <x:c r="D20" s="13" t="str">
        <x:v>GU 신사이바시점</x:v>
      </x:c>
      <x:c r="E20" s="13" t="str">
        <x:v>GU 心斎橋店</x:v>
      </x:c>
      <x:c r="F20" s="13" t="str">
        <x:v>신사이바시</x:v>
      </x:c>
      <x:c r="G20" s="13" t="str">
        <x:v>쇼핑</x:v>
      </x:c>
      <x:c r="H20" s="13" t="str">
        <x:v>의류</x:v>
      </x:c>
      <x:c r="I20" s="13" t="str">
        <x:v>大阪府大阪市中央区心斎橋筋2-1-17</x:v>
      </x:c>
      <x:c r="J20" s="13" t="str">
        <x:v>11:00~21:00</x:v>
      </x:c>
      <x:c r="K20" s="13" t="str">
        <x:v>정기휴무·연말연시·층별 위치 추가 확인</x:v>
      </x:c>
      <x:c r="L20" s="19"/>
      <x:c r="M20" s="13" t="str">
        <x:v>쇼핑 매장 방문. 입장료·상품 구매액은 별도 항목; 확인되지 않은 비용은 빈칸 유지.</x:v>
      </x:c>
      <x:c r="N20" s="13" t="str">
        <x:v>https://www.gu-global.com/jp/ja/feature/contents/tax-free/all</x:v>
      </x:c>
      <x:c r="O20" s="13" t="str">
        <x:v>official_web_review</x:v>
      </x:c>
      <x:c r="P20" s="21" t="d">
        <x:v>2026-10-19T00:00:00.000Z</x:v>
      </x:c>
      <x:c r="Q20" s="13" t="str">
        <x:v>실제 입구·좌표, 주요 공간, 체류시간 확인. 구매액은 개인 예산으로 별도 입력. 입장 무료를 예상 지출 0으로 바꾸지 않음.</x:v>
      </x:c>
      <x:c r="R20" s="13"/>
      <x:c r="S20" s="15"/>
      <x:c r="T20" s="15"/>
      <x:c r="U20" s="23"/>
      <x:c r="V20" s="15"/>
      <x:c r="W20" s="20"/>
      <x:c r="X20" s="15"/>
      <x:c r="Y20" s="13" t="str">
        <x:v>GU 신사이바시점 | 지유 신사이바시점 | 지유 신사이바시 | GU Shinsaibashi</x:v>
      </x:c>
    </x:row>
    <x:row r="21" ht="115" customHeight="1">
      <x:c r="A21" s="13" t="str">
        <x:v>branch_gu_links_umeda</x:v>
      </x:c>
      <x:c r="B21" s="13" t="str">
        <x:v>신규 후보</x:v>
      </x:c>
      <x:c r="C21" s="13" t="str">
        <x:v>GU</x:v>
      </x:c>
      <x:c r="D21" s="13" t="str">
        <x:v>GU 링크스 우메다점</x:v>
      </x:c>
      <x:c r="E21" s="13" t="str">
        <x:v>GU LINKS UMEDA</x:v>
      </x:c>
      <x:c r="F21" s="13" t="str">
        <x:v>우메다</x:v>
      </x:c>
      <x:c r="G21" s="13" t="str">
        <x:v>쇼핑</x:v>
      </x:c>
      <x:c r="H21" s="13" t="str">
        <x:v>의류</x:v>
      </x:c>
      <x:c r="I21" s="13" t="str">
        <x:v>大阪府大阪市北区大深町1-1 LINKS UMEDA 3F</x:v>
      </x:c>
      <x:c r="J21" s="13" t="str">
        <x:v>월~일10:00~21:00</x:v>
      </x:c>
      <x:c r="K21" s="13" t="str">
        <x:v>몰 전체09:30~22:00와 구분. 휴관·공휴일 예외 추가 확인</x:v>
      </x:c>
      <x:c r="L21" s="19"/>
      <x:c r="M21" s="13" t="str">
        <x:v>쇼핑 매장 방문. 입장료·상품 구매액은 별도 항목; 확인되지 않은 비용은 빈칸 유지.</x:v>
      </x:c>
      <x:c r="N21" s="13" t="str">
        <x:v>https://links-umeda.jp/shop/gu%E3%80%80links-umeda/</x:v>
      </x:c>
      <x:c r="O21" s="13" t="str">
        <x:v>official_mall_listing</x:v>
      </x:c>
      <x:c r="P21" s="21" t="d">
        <x:v>2026-10-19T00:00:00.000Z</x:v>
      </x:c>
      <x:c r="Q21" s="13" t="str">
        <x:v>실제 입구·좌표, 주요 공간, 체류시간 확인. 구매액은 개인 예산으로 별도 입력. 입장 무료를 예상 지출 0으로 바꾸지 않음.</x:v>
      </x:c>
      <x:c r="R21" s="13"/>
      <x:c r="S21" s="15"/>
      <x:c r="T21" s="15"/>
      <x:c r="U21" s="23"/>
      <x:c r="V21" s="15"/>
      <x:c r="W21" s="20"/>
      <x:c r="X21" s="15"/>
      <x:c r="Y21" s="13" t="str">
        <x:v>GU 링크스 우메다점 | 지유 링크스 우메다점 | GU LINKS UMEDA</x:v>
      </x:c>
    </x:row>
    <x:row r="22" ht="115" customHeight="1">
      <x:c r="A22" s="13" t="str">
        <x:v>branch_daiso_shinsaibashi</x:v>
      </x:c>
      <x:c r="B22" s="13" t="str">
        <x:v>신규 후보</x:v>
      </x:c>
      <x:c r="C22" s="13" t="str">
        <x:v>다이소</x:v>
      </x:c>
      <x:c r="D22" s="13" t="str">
        <x:v>다이소 신사이바시점</x:v>
      </x:c>
      <x:c r="E22" s="13" t="str">
        <x:v>DAISO 心斎橋店</x:v>
      </x:c>
      <x:c r="F22" s="13" t="str">
        <x:v>신사이바시</x:v>
      </x:c>
      <x:c r="G22" s="13" t="str">
        <x:v>쇼핑</x:v>
      </x:c>
      <x:c r="H22" s="13" t="str">
        <x:v>생활잡화</x:v>
      </x:c>
      <x:c r="I22" s="13" t="str">
        <x:v>大阪府大阪市中央区南船場3丁目10番3号3階</x:v>
      </x:c>
      <x:c r="J22" s="13" t="str">
        <x:v>월~금09:00~22:00 / 토·일09:30~22:00</x:v>
      </x:c>
      <x:c r="K22" s="13" t="str">
        <x:v>토·일 개점09:30 공지. 공휴일·정기휴무 추가 확인</x:v>
      </x:c>
      <x:c r="L22" s="19"/>
      <x:c r="M22" s="13" t="str">
        <x:v>쇼핑 매장 방문. 입장료·상품 구매액은 별도 항목; 확인되지 않은 비용은 빈칸 유지.</x:v>
      </x:c>
      <x:c r="N22" s="13" t="str">
        <x:v>https://www.daiso-sangyo.co.jp/shop/detail/008646</x:v>
      </x:c>
      <x:c r="O22" s="13" t="str">
        <x:v>official_web_review</x:v>
      </x:c>
      <x:c r="P22" s="21" t="d">
        <x:v>2026-10-19T00:00:00.000Z</x:v>
      </x:c>
      <x:c r="Q22" s="13" t="str">
        <x:v>실제 입구·좌표, 주요 공간, 체류시간 확인. 구매액은 개인 예산으로 별도 입력. 입장 무료를 예상 지출 0으로 바꾸지 않음.</x:v>
      </x:c>
      <x:c r="R22" s="13"/>
      <x:c r="S22" s="15"/>
      <x:c r="T22" s="15"/>
      <x:c r="U22" s="23"/>
      <x:c r="V22" s="15"/>
      <x:c r="W22" s="20"/>
      <x:c r="X22" s="15"/>
      <x:c r="Y22" s="13" t="str">
        <x:v>다이소 신사이바시점 | DAISO Shinsaibashi</x:v>
      </x:c>
    </x:row>
    <x:row r="23" ht="115" customHeight="1">
      <x:c r="A23" s="13" t="str">
        <x:v>branch_daiso_links_umeda</x:v>
      </x:c>
      <x:c r="B23" s="13" t="str">
        <x:v>신규 후보</x:v>
      </x:c>
      <x:c r="C23" s="13" t="str">
        <x:v>다이소</x:v>
      </x:c>
      <x:c r="D23" s="13" t="str">
        <x:v>다이소 링크스 우메다점</x:v>
      </x:c>
      <x:c r="E23" s="13" t="str">
        <x:v>DAISO LINKS UMEDA店</x:v>
      </x:c>
      <x:c r="F23" s="13" t="str">
        <x:v>우메다</x:v>
      </x:c>
      <x:c r="G23" s="13" t="str">
        <x:v>쇼핑</x:v>
      </x:c>
      <x:c r="H23" s="13" t="str">
        <x:v>생활잡화</x:v>
      </x:c>
      <x:c r="I23" s="13" t="str">
        <x:v>大阪府大阪市北区大深町1-1 LINKS UMEDA 5F</x:v>
      </x:c>
      <x:c r="J23" s="13" t="str">
        <x:v>10:00~21:00</x:v>
      </x:c>
      <x:c r="K23" s="13" t="str">
        <x:v>시설 휴관·공휴일 예외 추가 확인</x:v>
      </x:c>
      <x:c r="L23" s="19"/>
      <x:c r="M23" s="13" t="str">
        <x:v>쇼핑 매장 방문. 입장료·상품 구매액은 별도 항목; 확인되지 않은 비용은 빈칸 유지.</x:v>
      </x:c>
      <x:c r="N23" s="13" t="str">
        <x:v>https://www.daiso-sangyo.co.jp/shop/detail/003962</x:v>
      </x:c>
      <x:c r="O23" s="13" t="str">
        <x:v>official_web_review</x:v>
      </x:c>
      <x:c r="P23" s="21" t="d">
        <x:v>2026-10-19T00:00:00.000Z</x:v>
      </x:c>
      <x:c r="Q23" s="13" t="str">
        <x:v>실제 입구·좌표, 주요 공간, 체류시간 확인. 구매액은 개인 예산으로 별도 입력. 입장 무료를 예상 지출 0으로 바꾸지 않음.</x:v>
      </x:c>
      <x:c r="R23" s="13"/>
      <x:c r="S23" s="15"/>
      <x:c r="T23" s="15"/>
      <x:c r="U23" s="23"/>
      <x:c r="V23" s="15"/>
      <x:c r="W23" s="20"/>
      <x:c r="X23" s="15"/>
      <x:c r="Y23" s="13" t="str">
        <x:v>다이소 링크스 우메다점 | DAISO LINKS UMEDA</x:v>
      </x:c>
    </x:row>
    <x:row r="24" ht="115" customHeight="1">
      <x:c r="A24" s="13" t="str">
        <x:v>branch_daiso_osaka_umeda</x:v>
      </x:c>
      <x:c r="B24" s="13" t="str">
        <x:v>신규 후보</x:v>
      </x:c>
      <x:c r="C24" s="13" t="str">
        <x:v>다이소</x:v>
      </x:c>
      <x:c r="D24" s="13" t="str">
        <x:v>다이소 오사카 우메다점</x:v>
      </x:c>
      <x:c r="E24" s="13" t="str">
        <x:v>DAISO 大阪梅田店</x:v>
      </x:c>
      <x:c r="F24" s="13" t="str">
        <x:v>우메다</x:v>
      </x:c>
      <x:c r="G24" s="13" t="str">
        <x:v>쇼핑</x:v>
      </x:c>
      <x:c r="H24" s="13" t="str">
        <x:v>생활잡화</x:v>
      </x:c>
      <x:c r="I24" s="13" t="str">
        <x:v>大阪府大阪市北区茶屋町1-27 ABC-MART梅田ビルB1・B2階</x:v>
      </x:c>
      <x:c r="J24" s="13" t="str">
        <x:v>09:00~22:00</x:v>
      </x:c>
      <x:c r="K24" s="13" t="str">
        <x:v>정기휴무·공휴일 예외 추가 확인</x:v>
      </x:c>
      <x:c r="L24" s="19"/>
      <x:c r="M24" s="13" t="str">
        <x:v>쇼핑 매장 방문. 입장료·상품 구매액은 별도 항목; 확인되지 않은 비용은 빈칸 유지.</x:v>
      </x:c>
      <x:c r="N24" s="13" t="str">
        <x:v>https://www.daiso-sangyo.co.jp/shop/detail/008952</x:v>
      </x:c>
      <x:c r="O24" s="13" t="str">
        <x:v>official_web_review</x:v>
      </x:c>
      <x:c r="P24" s="21" t="d">
        <x:v>2026-10-19T00:00:00.000Z</x:v>
      </x:c>
      <x:c r="Q24" s="13" t="str">
        <x:v>링크스 우메다점과 별개 지점. 실제 입구·좌표, 주요 공간, 체류시간 확인. 구매액은 개인 예산으로 별도 입력. 입장 무료를 예상 지출 0으로 바꾸지 않음.</x:v>
      </x:c>
      <x:c r="R24" s="13"/>
      <x:c r="S24" s="15"/>
      <x:c r="T24" s="15"/>
      <x:c r="U24" s="23"/>
      <x:c r="V24" s="15"/>
      <x:c r="W24" s="20"/>
      <x:c r="X24" s="15"/>
      <x:c r="Y24" s="13" t="str">
        <x:v>다이소 오사카 우메다점 | DAISO Osaka Umeda</x:v>
      </x:c>
    </x:row>
    <x:row r="25" ht="115" customHeight="1">
      <x:c r="A25" s="13" t="str">
        <x:v>branch_uniqlo_shinsaibashi</x:v>
      </x:c>
      <x:c r="B25" s="13" t="str">
        <x:v>신규 후보</x:v>
      </x:c>
      <x:c r="C25" s="13" t="str">
        <x:v>유니클로</x:v>
      </x:c>
      <x:c r="D25" s="13" t="str">
        <x:v>유니클로 신사이바시점</x:v>
      </x:c>
      <x:c r="E25" s="13" t="str">
        <x:v>ユニクロ SHINSAIBASHI</x:v>
      </x:c>
      <x:c r="F25" s="13" t="str">
        <x:v>신사이바시</x:v>
      </x:c>
      <x:c r="G25" s="13" t="str">
        <x:v>쇼핑</x:v>
      </x:c>
      <x:c r="H25" s="13" t="str">
        <x:v>의류</x:v>
      </x:c>
      <x:c r="I25" s="13" t="str">
        <x:v>大阪府大阪市中央区心斎橋筋1-2-17</x:v>
      </x:c>
      <x:c r="J25" s="13" t="str">
        <x:v>11:00~21:00</x:v>
      </x:c>
      <x:c r="K25" s="13" t="str">
        <x:v>상점가 공식 안내:12/31 11:00~18:00,1/1 휴점. 해당 연도 재확인</x:v>
      </x:c>
      <x:c r="L25" s="19"/>
      <x:c r="M25" s="13" t="str">
        <x:v>쇼핑 매장 방문. 입장료·상품 구매액은 별도 항목; 확인되지 않은 비용은 빈칸 유지.</x:v>
      </x:c>
      <x:c r="N25" s="13" t="str">
        <x:v>https://www.shinsaibashi.or.jp/stores/show/27</x:v>
      </x:c>
      <x:c r="O25" s="13" t="str">
        <x:v>official_shopping_street_listing</x:v>
      </x:c>
      <x:c r="P25" s="21" t="d">
        <x:v>2026-10-19T00:00:00.000Z</x:v>
      </x:c>
      <x:c r="Q25" s="13" t="str">
        <x:v>心斎橋筋商店街店과 다른 지점. 실제 입구·좌표, 주요 공간, 체류시간 확인. 구매액은 개인 예산으로 별도 입력. 입장 무료를 예상 지출 0으로 바꾸지 않음.</x:v>
      </x:c>
      <x:c r="R25" s="13"/>
      <x:c r="S25" s="15"/>
      <x:c r="T25" s="15"/>
      <x:c r="U25" s="23"/>
      <x:c r="V25" s="15"/>
      <x:c r="W25" s="20"/>
      <x:c r="X25" s="15"/>
      <x:c r="Y25" s="13" t="str">
        <x:v>유니클로 신사이바시점 | UNIQLO SHINSAIBASHI</x:v>
      </x:c>
    </x:row>
    <x:row r="26" ht="115" customHeight="1">
      <x:c r="A26" s="13" t="str">
        <x:v>branch_uniqlo_umeda</x:v>
      </x:c>
      <x:c r="B26" s="13" t="str">
        <x:v>신규 후보</x:v>
      </x:c>
      <x:c r="C26" s="13" t="str">
        <x:v>유니클로</x:v>
      </x:c>
      <x:c r="D26" s="13" t="str">
        <x:v>유니클로 링크스 우메다점</x:v>
      </x:c>
      <x:c r="E26" s="13" t="str">
        <x:v>ユニクロ UMEDA</x:v>
      </x:c>
      <x:c r="F26" s="13" t="str">
        <x:v>우메다</x:v>
      </x:c>
      <x:c r="G26" s="13" t="str">
        <x:v>쇼핑</x:v>
      </x:c>
      <x:c r="H26" s="13" t="str">
        <x:v>의류</x:v>
      </x:c>
      <x:c r="I26" s="13" t="str">
        <x:v>大阪府大阪市北区大深町1番1号 LINKS UMEDA 1階2階</x:v>
      </x:c>
      <x:c r="J26" s="13" t="str">
        <x:v>월~일·공휴일10:00~21:00</x:v>
      </x:c>
      <x:c r="K26" s="13" t="str">
        <x:v>시설 휴관·특별일 예외 추가 확인</x:v>
      </x:c>
      <x:c r="L26" s="19"/>
      <x:c r="M26" s="13" t="str">
        <x:v>쇼핑 매장 방문. 입장료·상품 구매액은 별도 항목; 확인되지 않은 비용은 빈칸 유지.</x:v>
      </x:c>
      <x:c r="N26" s="13" t="str">
        <x:v>https://map.uniqlo.com/jp/ja/detail/10101654/1000</x:v>
      </x:c>
      <x:c r="O26" s="13" t="str">
        <x:v>official_web_review</x:v>
      </x:c>
      <x:c r="P26" s="21" t="d">
        <x:v>2026-10-19T00:00:00.000Z</x:v>
      </x:c>
      <x:c r="Q26" s="13" t="str">
        <x:v>실제 입구·좌표, 주요 공간, 체류시간 확인. 구매액은 개인 예산으로 별도 입력. 입장 무료를 예상 지출 0으로 바꾸지 않음.</x:v>
      </x:c>
      <x:c r="R26" s="13"/>
      <x:c r="S26" s="15"/>
      <x:c r="T26" s="15"/>
      <x:c r="U26" s="23"/>
      <x:c r="V26" s="15"/>
      <x:c r="W26" s="20"/>
      <x:c r="X26" s="15"/>
      <x:c r="Y26" s="13" t="str">
        <x:v>유니클로 우메다점 | 유니클로 링크스 우메다 | UNIQLO UMEDA | 유니클로 우메다점 (링크스)</x:v>
      </x:c>
    </x:row>
    <x:row r="27" ht="115" customHeight="1">
      <x:c r="A27" s="13" t="str">
        <x:v>branch_muji_grandfront</x:v>
      </x:c>
      <x:c r="B27" s="13" t="str">
        <x:v>신규 후보</x:v>
      </x:c>
      <x:c r="C27" s="13" t="str">
        <x:v>무인양품</x:v>
      </x:c>
      <x:c r="D27" s="13" t="str">
        <x:v>무인양품 그랜드프런트 오사카점</x:v>
      </x:c>
      <x:c r="E27" s="13" t="str">
        <x:v>無印良品 グランフロント大阪</x:v>
      </x:c>
      <x:c r="F27" s="13" t="str">
        <x:v>우메다</x:v>
      </x:c>
      <x:c r="G27" s="13" t="str">
        <x:v>쇼핑</x:v>
      </x:c>
      <x:c r="H27" s="13" t="str">
        <x:v>의류·생활잡화</x:v>
      </x:c>
      <x:c r="I27" s="13" t="str">
        <x:v>大阪府大阪市北区大深町3-1 グランフロント大阪 北館2~4F</x:v>
      </x:c>
      <x:c r="J27" s="13" t="str">
        <x:v>월~일11:00~21:00</x:v>
      </x:c>
      <x:c r="K27" s="13" t="str">
        <x:v>시설 일정에 따름. MUJI Coffee 주문20:30까지; 식당 시간과 구분</x:v>
      </x:c>
      <x:c r="L27" s="19"/>
      <x:c r="M27" s="13" t="str">
        <x:v>쇼핑 매장 방문. 입장료·상품 구매액은 별도 항목; 확인되지 않은 비용은 빈칸 유지.</x:v>
      </x:c>
      <x:c r="N27" s="13" t="str">
        <x:v>https://www.muji.com/jp/ja/shop/detail/045589</x:v>
      </x:c>
      <x:c r="O27" s="13" t="str">
        <x:v>official_web_review</x:v>
      </x:c>
      <x:c r="P27" s="21" t="d">
        <x:v>2026-10-19T00:00:00.000Z</x:v>
      </x:c>
      <x:c r="Q27" s="13" t="str">
        <x:v>쇼핑 공간 기준; Café&amp;Meal MUJI 별도 방문과 분리. 실제 입구·좌표, 주요 공간, 체류시간 확인. 구매액은 개인 예산으로 별도 입력. 입장 무료를 예상 지출 0으로 바꾸지 않음.</x:v>
      </x:c>
      <x:c r="R27" s="13"/>
      <x:c r="S27" s="15"/>
      <x:c r="T27" s="15"/>
      <x:c r="U27" s="23"/>
      <x:c r="V27" s="15"/>
      <x:c r="W27" s="20"/>
      <x:c r="X27" s="15"/>
      <x:c r="Y27" s="13" t="str">
        <x:v>무인양품 그랜드프런트 오사카점 | 무지 그랜드프론트 오사카 | MUJI Grand Front Osaka</x:v>
      </x:c>
    </x:row>
    <x:row r="28" ht="115" customHeight="1">
      <x:c r="A28" s="13" t="str">
        <x:v>branch_muji_namba_skyo</x:v>
      </x:c>
      <x:c r="B28" s="13" t="str">
        <x:v>신규 후보</x:v>
      </x:c>
      <x:c r="C28" s="13" t="str">
        <x:v>무인양품</x:v>
      </x:c>
      <x:c r="D28" s="13" t="str">
        <x:v>무인양품 난바 스카이오점</x:v>
      </x:c>
      <x:c r="E28" s="13" t="str">
        <x:v>無印良品 なんばスカイオ</x:v>
      </x:c>
      <x:c r="F28" s="13" t="str">
        <x:v>난바·도톤보리</x:v>
      </x:c>
      <x:c r="G28" s="13" t="str">
        <x:v>쇼핑</x:v>
      </x:c>
      <x:c r="H28" s="13" t="str">
        <x:v>의류·생활잡화</x:v>
      </x:c>
      <x:c r="I28" s="13" t="str">
        <x:v>大阪府大阪市中央区難波5-1-60 なんばスカイオ5F</x:v>
      </x:c>
      <x:c r="J28" s="13" t="str">
        <x:v>월~일11:00~21:00</x:v>
      </x:c>
      <x:c r="K28" s="13" t="str">
        <x:v>12/31(수)·1/1(목) 휴점 공지는 연도가 이전이므로2026년 말 규칙으로 미적용</x:v>
      </x:c>
      <x:c r="L28" s="19"/>
      <x:c r="M28" s="13" t="str">
        <x:v>쇼핑 매장 방문. 입장료·상품 구매액은 별도 항목; 확인되지 않은 비용은 빈칸 유지.</x:v>
      </x:c>
      <x:c r="N28" s="13" t="str">
        <x:v>https://www.muji.com/jp/ja/shop/detail/%E3%81%AA%E3%82%93%E3%81%B0%E3%82%B9%E3%82%AB%E3%82%A4%E3%82%AA/046316</x:v>
      </x:c>
      <x:c r="O28" s="13" t="str">
        <x:v>official_web_review</x:v>
      </x:c>
      <x:c r="P28" s="21" t="d">
        <x:v>2026-10-19T00:00:00.000Z</x:v>
      </x:c>
      <x:c r="Q28" s="13" t="str">
        <x:v>실제 입구·좌표, 주요 공간, 체류시간 확인. 구매액은 개인 예산으로 별도 입력. 입장 무료를 예상 지출 0으로 바꾸지 않음.</x:v>
      </x:c>
      <x:c r="R28" s="13"/>
      <x:c r="S28" s="15"/>
      <x:c r="T28" s="15"/>
      <x:c r="U28" s="23"/>
      <x:c r="V28" s="15"/>
      <x:c r="W28" s="20"/>
      <x:c r="X28" s="15"/>
      <x:c r="Y28" s="13" t="str">
        <x:v>무인양품 난바 스카이오점 | 무지 남바 스카이오 | MUJI Namba Skyo</x:v>
      </x:c>
    </x:row>
    <x:row r="29" ht="115" customHeight="1">
      <x:c r="A29" s="13" t="str">
        <x:v>branch_onitsuka_shinsaibashi</x:v>
      </x:c>
      <x:c r="B29" s="13" t="str">
        <x:v>신규 후보</x:v>
      </x:c>
      <x:c r="C29" s="13" t="str">
        <x:v>오니츠카타이거</x:v>
      </x:c>
      <x:c r="D29" s="13" t="str">
        <x:v>오니츠카타이거 신사이바시점</x:v>
      </x:c>
      <x:c r="E29" s="13" t="str">
        <x:v>オニツカタイガー 心斎橋</x:v>
      </x:c>
      <x:c r="F29" s="13" t="str">
        <x:v>신사이바시</x:v>
      </x:c>
      <x:c r="G29" s="13" t="str">
        <x:v>쇼핑</x:v>
      </x:c>
      <x:c r="H29" s="13" t="str">
        <x:v>신발·의류</x:v>
      </x:c>
      <x:c r="I29" s="13" t="str">
        <x:v>大阪府大阪市中央区心斎橋筋1-4-22</x:v>
      </x:c>
      <x:c r="J29" s="13" t="str">
        <x:v>11:00~20:00</x:v>
      </x:c>
      <x:c r="K29" s="13" t="str">
        <x:v>부정기 휴무; 방문일 휴무 확인</x:v>
      </x:c>
      <x:c r="L29" s="19"/>
      <x:c r="M29" s="13" t="str">
        <x:v>쇼핑 매장 방문. 입장료·상품 구매액은 별도 항목; 확인되지 않은 비용은 빈칸 유지.</x:v>
      </x:c>
      <x:c r="N29" s="13" t="str">
        <x:v>https://www.shinsaibashi.or.jp/stores/show/233/index</x:v>
      </x:c>
      <x:c r="O29" s="13" t="str">
        <x:v>official_shopping_street_listing</x:v>
      </x:c>
      <x:c r="P29" s="21" t="d">
        <x:v>2026-10-19T00:00:00.000Z</x:v>
      </x:c>
      <x:c r="Q29" s="13" t="str">
        <x:v>실제 입구·좌표, 주요 공간, 체류시간 확인. 구매액은 개인 예산으로 별도 입력. 입장 무료를 예상 지출 0으로 바꾸지 않음.</x:v>
      </x:c>
      <x:c r="R29" s="13"/>
      <x:c r="S29" s="15"/>
      <x:c r="T29" s="15"/>
      <x:c r="U29" s="23"/>
      <x:c r="V29" s="15"/>
      <x:c r="W29" s="20"/>
      <x:c r="X29" s="15"/>
      <x:c r="Y29" s="13" t="str">
        <x:v>오니츠카타이거 신사이바시점 | 오니츠카 타이거 신사이바시 | Onitsuka Tiger Shinsaibashi</x:v>
      </x:c>
    </x:row>
    <x:row r="30" ht="115" customHeight="1">
      <x:c r="A30" s="13" t="str">
        <x:v>branch_kiddyland_umeda</x:v>
      </x:c>
      <x:c r="B30" s="13" t="str">
        <x:v>신규 후보</x:v>
      </x:c>
      <x:c r="C30" s="13" t="str">
        <x:v>키디랜드</x:v>
      </x:c>
      <x:c r="D30" s="13" t="str">
        <x:v>키디랜드 오사카 우메다점</x:v>
      </x:c>
      <x:c r="E30" s="13" t="str">
        <x:v>キデイランド大阪梅田店</x:v>
      </x:c>
      <x:c r="F30" s="13" t="str">
        <x:v>우메다</x:v>
      </x:c>
      <x:c r="G30" s="13" t="str">
        <x:v>쇼핑</x:v>
      </x:c>
      <x:c r="H30" s="13" t="str">
        <x:v>캐릭터 굿즈·완구</x:v>
      </x:c>
      <x:c r="I30" s="13" t="str">
        <x:v>大阪府大阪市北区芝田1-1-3 阪急三番街北館</x:v>
      </x:c>
      <x:c r="J30" s="13" t="str">
        <x:v>10:00~21:00</x:v>
      </x:c>
      <x:c r="K30" s="13" t="str">
        <x:v>몰 휴관·연말연시 변경 확인. 별도 전문 코너의 휴무를 전체 매장에 적용하지 않음.</x:v>
      </x:c>
      <x:c r="L30" s="19"/>
      <x:c r="M30" s="13" t="str">
        <x:v>상품 구매액은 개인별 선택 예산. 확인되지 않은 입장료·예상 지출은 빈칸 유지.</x:v>
      </x:c>
      <x:c r="N30" s="13" t="str">
        <x:v>https://www.kiddyland.co.jp/shoplist/umeda/</x:v>
      </x:c>
      <x:c r="O30" s="13" t="str">
        <x:v>official_web_review</x:v>
      </x:c>
      <x:c r="P30" s="21" t="d">
        <x:v>2026-10-19T00:00:00.000Z</x:v>
      </x:c>
      <x:c r="Q30" s="13" t="str">
        <x:v>실제 입구·좌표, 주요 이용 공간, 체류시간·방문일 예외 확인. 시설과 입점 매장을 같은 일정에 중복 배치하지 않도록 관계 확인.</x:v>
      </x:c>
      <x:c r="R30" s="13"/>
      <x:c r="S30" s="15"/>
      <x:c r="T30" s="15"/>
      <x:c r="U30" s="23"/>
      <x:c r="V30" s="15"/>
      <x:c r="W30" s="20"/>
      <x:c r="X30" s="15"/>
      <x:c r="Y30" s="13" t="str">
        <x:v>키디랜드 오사카 우메다점 | キデイランド大阪梅田店 | KIDDY LAND Osaka Umeda | 키데이랜드 우메다</x:v>
      </x:c>
    </x:row>
    <x:row r="31" ht="115" customHeight="1">
      <x:c r="A31" s="13" t="str">
        <x:v>branch_montbell_namba_city</x:v>
      </x:c>
      <x:c r="B31" s="13" t="str">
        <x:v>신규 후보</x:v>
      </x:c>
      <x:c r="C31" s="13" t="str">
        <x:v>몽벨</x:v>
      </x:c>
      <x:c r="D31" s="13" t="str">
        <x:v>몽벨 난바 CITY점</x:v>
      </x:c>
      <x:c r="E31" s="13" t="str">
        <x:v>モンベル なんばCITY店</x:v>
      </x:c>
      <x:c r="F31" s="13" t="str">
        <x:v>난바·도톤보리</x:v>
      </x:c>
      <x:c r="G31" s="13" t="str">
        <x:v>쇼핑</x:v>
      </x:c>
      <x:c r="H31" s="13" t="str">
        <x:v>아웃도어 의류·장비</x:v>
      </x:c>
      <x:c r="I31" s="13" t="str">
        <x:v>大阪府大阪市中央区難波5-1-60 なんばCITY南館地下1F</x:v>
      </x:c>
      <x:c r="J31" s="13" t="str">
        <x:v>11:00~21:00</x:v>
      </x:c>
      <x:c r="K31" s="13" t="str">
        <x:v>난바 CITY 휴관일에 따름.</x:v>
      </x:c>
      <x:c r="L31" s="19"/>
      <x:c r="M31" s="13" t="str">
        <x:v>상품 구매액은 개인별 선택 예산. 확인되지 않은 입장료·예상 지출은 빈칸 유지.</x:v>
      </x:c>
      <x:c r="N31" s="13" t="str">
        <x:v>https://store.montbell.jp/sp/search/shopinfo/?shop_no=678546</x:v>
      </x:c>
      <x:c r="O31" s="13" t="str">
        <x:v>official_web_review</x:v>
      </x:c>
      <x:c r="P31" s="21" t="d">
        <x:v>2026-10-19T00:00:00.000Z</x:v>
      </x:c>
      <x:c r="Q31" s="13" t="str">
        <x:v>실제 입구·좌표, 주요 이용 공간, 체류시간·방문일 예외 확인. 시설과 입점 매장을 같은 일정에 중복 배치하지 않도록 관계 확인.</x:v>
      </x:c>
      <x:c r="R31" s="13"/>
      <x:c r="S31" s="15"/>
      <x:c r="T31" s="15"/>
      <x:c r="U31" s="23"/>
      <x:c r="V31" s="15"/>
      <x:c r="W31" s="20"/>
      <x:c r="X31" s="15"/>
      <x:c r="Y31" s="13" t="str">
        <x:v>몽벨 난바 CITY점 | モンベル なんばCITY店 | 몬벨 난바 시티 | mont-bell Namba CITY</x:v>
      </x:c>
    </x:row>
    <x:row r="32" ht="115" customHeight="1">
      <x:c r="A32" s="13" t="str">
        <x:v>branch_montbell_umekita</x:v>
      </x:c>
      <x:c r="B32" s="13" t="str">
        <x:v>신규 후보</x:v>
      </x:c>
      <x:c r="C32" s="13" t="str">
        <x:v>몽벨</x:v>
      </x:c>
      <x:c r="D32" s="13" t="str">
        <x:v>몽벨 우메키타점</x:v>
      </x:c>
      <x:c r="E32" s="13" t="str">
        <x:v>モンベル うめきた店</x:v>
      </x:c>
      <x:c r="F32" s="13" t="str">
        <x:v>우메다</x:v>
      </x:c>
      <x:c r="G32" s="13" t="str">
        <x:v>쇼핑</x:v>
      </x:c>
      <x:c r="H32" s="13" t="str">
        <x:v>아웃도어 의류·장비</x:v>
      </x:c>
      <x:c r="I32" s="13" t="str">
        <x:v>大阪府大阪市北区大深町4-20 グランフロント大阪 南館5F</x:v>
      </x:c>
      <x:c r="J32" s="13" t="str">
        <x:v>11:00~21:00</x:v>
      </x:c>
      <x:c r="K32" s="13" t="str">
        <x:v>부정기 휴무; 그랜드프런트 오사카 휴관일에 따름.</x:v>
      </x:c>
      <x:c r="L32" s="19"/>
      <x:c r="M32" s="13" t="str">
        <x:v>상품 구매액은 개인별 선택 예산. 확인되지 않은 입장료·예상 지출은 빈칸 유지.</x:v>
      </x:c>
      <x:c r="N32" s="13" t="str">
        <x:v>https://store.montbell.jp/search/shopinfo/?shop_no=678503</x:v>
      </x:c>
      <x:c r="O32" s="13" t="str">
        <x:v>official_web_review</x:v>
      </x:c>
      <x:c r="P32" s="21" t="d">
        <x:v>2026-10-19T00:00:00.000Z</x:v>
      </x:c>
      <x:c r="Q32" s="13" t="str">
        <x:v>실제 입구·좌표, 주요 이용 공간, 체류시간·방문일 예외 확인. 시설과 입점 매장을 같은 일정에 중복 배치하지 않도록 관계 확인.</x:v>
      </x:c>
      <x:c r="R32" s="13"/>
      <x:c r="S32" s="15"/>
      <x:c r="T32" s="15"/>
      <x:c r="U32" s="23"/>
      <x:c r="V32" s="15"/>
      <x:c r="W32" s="20"/>
      <x:c r="X32" s="15"/>
      <x:c r="Y32" s="13" t="str">
        <x:v>몽벨 우메키타점 | モンベル うめきた店 | 몬벨 우메키타 | mont-bell Umekita</x:v>
      </x:c>
    </x:row>
    <x:row r="33" ht="115" customHeight="1">
      <x:c r="A33" s="13" t="str">
        <x:v>branch_montbell_daimaru_shinsaibashi</x:v>
      </x:c>
      <x:c r="B33" s="13" t="str">
        <x:v>신규 후보</x:v>
      </x:c>
      <x:c r="C33" s="13" t="str">
        <x:v>몽벨</x:v>
      </x:c>
      <x:c r="D33" s="13" t="str">
        <x:v>몽벨 다이마루 신사이바시점</x:v>
      </x:c>
      <x:c r="E33" s="13" t="str">
        <x:v>モンベル 大丸心斎橋店</x:v>
      </x:c>
      <x:c r="F33" s="13" t="str">
        <x:v>신사이바시</x:v>
      </x:c>
      <x:c r="G33" s="13" t="str">
        <x:v>쇼핑</x:v>
      </x:c>
      <x:c r="H33" s="13" t="str">
        <x:v>아웃도어 의류·장비</x:v>
      </x:c>
      <x:c r="I33" s="13" t="str">
        <x:v>大阪府大阪市中央区心斎橋筋1-7-1 大丸心斎橋店南館6F</x:v>
      </x:c>
      <x:c r="J33" s="13" t="str">
        <x:v>11:00~20:00</x:v>
      </x:c>
      <x:c r="K33" s="13" t="str">
        <x:v>남관6층 개별 시간. 백화점 일반 매장의10시 개점을 적용하지 않음. 시설 휴관 확인.</x:v>
      </x:c>
      <x:c r="L33" s="19"/>
      <x:c r="M33" s="13" t="str">
        <x:v>상품 구매액은 개인별 선택 예산. 확인되지 않은 입장료·예상 지출은 빈칸 유지.</x:v>
      </x:c>
      <x:c r="N33" s="13" t="str">
        <x:v>https://www.daimaru.co.jp/shinsaibashi/hours.html
https://store.montbell.jp/clubshop/</x:v>
      </x:c>
      <x:c r="O33" s="13" t="str">
        <x:v>official_mall_listing</x:v>
      </x:c>
      <x:c r="P33" s="21" t="d">
        <x:v>2026-10-19T00:00:00.000Z</x:v>
      </x:c>
      <x:c r="Q33" s="13" t="str">
        <x:v>실제 입구·좌표, 주요 이용 공간, 체류시간·방문일 예외 확인. 시설과 입점 매장을 같은 일정에 중복 배치하지 않도록 관계 확인.</x:v>
      </x:c>
      <x:c r="R33" s="13"/>
      <x:c r="S33" s="15"/>
      <x:c r="T33" s="15"/>
      <x:c r="U33" s="23"/>
      <x:c r="V33" s="15"/>
      <x:c r="W33" s="20"/>
      <x:c r="X33" s="15"/>
      <x:c r="Y33" s="13" t="str">
        <x:v>몽벨 다이마루 신사이바시점 | モンベル 大丸心斎橋店 | 몬벨 다이마루 신사이바시</x:v>
      </x:c>
    </x:row>
    <x:row r="34" ht="115" customHeight="1">
      <x:c r="A34" s="13" t="str">
        <x:v>branch_stussy_osaka</x:v>
      </x:c>
      <x:c r="B34" s="13" t="str">
        <x:v>신규 후보</x:v>
      </x:c>
      <x:c r="C34" s="13" t="str">
        <x:v>스투시</x:v>
      </x:c>
      <x:c r="D34" s="13" t="str">
        <x:v>스투시 오사카점</x:v>
      </x:c>
      <x:c r="E34" s="13" t="str">
        <x:v>Stüssy Osaka</x:v>
      </x:c>
      <x:c r="F34" s="13" t="str">
        <x:v>아메리카무라</x:v>
      </x:c>
      <x:c r="G34" s="13" t="str">
        <x:v>쇼핑</x:v>
      </x:c>
      <x:c r="H34" s="13" t="str">
        <x:v>스트리트 의류</x:v>
      </x:c>
      <x:c r="I34" s="13" t="str">
        <x:v>大阪府大阪市中央区西心斎橋1-7-9</x:v>
      </x:c>
      <x:c r="J34" s="13" t="str">
        <x:v>월~일11:00~19:00</x:v>
      </x:c>
      <x:c r="K34" s="13" t="str">
        <x:v>발매일 입장 조건·임시휴무 별도 확인.</x:v>
      </x:c>
      <x:c r="L34" s="19"/>
      <x:c r="M34" s="13" t="str">
        <x:v>상품 구매액은 개인별 선택 예산. 확인되지 않은 입장료·예상 지출은 빈칸 유지.</x:v>
      </x:c>
      <x:c r="N34" s="13" t="str">
        <x:v>https://www.stussy.com/blogs/chapters/stussy-osaka</x:v>
      </x:c>
      <x:c r="O34" s="13" t="str">
        <x:v>official_web_review</x:v>
      </x:c>
      <x:c r="P34" s="21" t="d">
        <x:v>2026-10-19T00:00:00.000Z</x:v>
      </x:c>
      <x:c r="Q34" s="13" t="str">
        <x:v>실제 입구·좌표, 주요 이용 공간, 체류시간·방문일 예외 확인. 시설과 입점 매장을 같은 일정에 중복 배치하지 않도록 관계 확인.</x:v>
      </x:c>
      <x:c r="R34" s="13"/>
      <x:c r="S34" s="15"/>
      <x:c r="T34" s="15"/>
      <x:c r="U34" s="23"/>
      <x:c r="V34" s="15"/>
      <x:c r="W34" s="20"/>
      <x:c r="X34" s="15"/>
      <x:c r="Y34" s="13" t="str">
        <x:v>스투시 오사카점 | Stüssy Osaka | Stussy Osaka</x:v>
      </x:c>
    </x:row>
    <x:row r="35" ht="115" customHeight="1">
      <x:c r="A35" s="13" t="str">
        <x:v>branch_supreme_osaka</x:v>
      </x:c>
      <x:c r="B35" s="13" t="str">
        <x:v>신규 후보</x:v>
      </x:c>
      <x:c r="C35" s="13" t="str">
        <x:v>슈프림</x:v>
      </x:c>
      <x:c r="D35" s="13" t="str">
        <x:v>슈프림 오사카점</x:v>
      </x:c>
      <x:c r="E35" s="13" t="str">
        <x:v>Supreme Osaka</x:v>
      </x:c>
      <x:c r="F35" s="13" t="str">
        <x:v>호리에</x:v>
      </x:c>
      <x:c r="G35" s="13" t="str">
        <x:v>쇼핑</x:v>
      </x:c>
      <x:c r="H35" s="13" t="str">
        <x:v>스트리트 의류</x:v>
      </x:c>
      <x:c r="I35" s="13" t="str">
        <x:v>大阪府大阪市西区南堀江1-9-8</x:v>
      </x:c>
      <x:c r="J35" s="13" t="str">
        <x:v>월~일11:00~20:00</x:v>
      </x:c>
      <x:c r="K35" s="13" t="str">
        <x:v>발매일 대기·입장 조건, 임시휴무 확인.</x:v>
      </x:c>
      <x:c r="L35" s="19"/>
      <x:c r="M35" s="13" t="str">
        <x:v>상품 구매액은 개인별 선택 예산. 확인되지 않은 입장료·예상 지출은 빈칸 유지.</x:v>
      </x:c>
      <x:c r="N35" s="13" t="str">
        <x:v>https://supreme.com/stores</x:v>
      </x:c>
      <x:c r="O35" s="13" t="str">
        <x:v>official_web_review</x:v>
      </x:c>
      <x:c r="P35" s="21" t="d">
        <x:v>2026-10-19T00:00:00.000Z</x:v>
      </x:c>
      <x:c r="Q35" s="13" t="str">
        <x:v>실제 입구·좌표, 주요 이용 공간, 체류시간·방문일 예외 확인. 시설과 입점 매장을 같은 일정에 중복 배치하지 않도록 관계 확인.</x:v>
      </x:c>
      <x:c r="R35" s="13"/>
      <x:c r="S35" s="15"/>
      <x:c r="T35" s="15"/>
      <x:c r="U35" s="23"/>
      <x:c r="V35" s="15"/>
      <x:c r="W35" s="20"/>
      <x:c r="X35" s="15"/>
      <x:c r="Y35" s="13" t="str">
        <x:v>슈프림 오사카점 | Supreme Osaka | 수프림 오사카</x:v>
      </x:c>
    </x:row>
    <x:row r="36" ht="115" customHeight="1">
      <x:c r="A36" s="13" t="str">
        <x:v>branch_bape_osaka</x:v>
      </x:c>
      <x:c r="B36" s="13" t="str">
        <x:v>신규 후보</x:v>
      </x:c>
      <x:c r="C36" s="13" t="str">
        <x:v>베이프</x:v>
      </x:c>
      <x:c r="D36" s="13" t="str">
        <x:v>베이프 스토어 오사카점</x:v>
      </x:c>
      <x:c r="E36" s="13" t="str">
        <x:v>BAPE STORE OSAKA</x:v>
      </x:c>
      <x:c r="F36" s="13" t="str">
        <x:v>호리에</x:v>
      </x:c>
      <x:c r="G36" s="13" t="str">
        <x:v>쇼핑</x:v>
      </x:c>
      <x:c r="H36" s="13" t="str">
        <x:v>스트리트 의류</x:v>
      </x:c>
      <x:c r="I36" s="13" t="str">
        <x:v>大阪府大阪市西区南堀江1-19-2</x:v>
      </x:c>
      <x:c r="J36" s="13" t="str">
        <x:v>11:00~20:00</x:v>
      </x:c>
      <x:c r="K36" s="13" t="str">
        <x:v>정기휴무·발매일 입장 조건 추가 확인. 공식 매장 페이지의 공개 매장 데이터 확인.</x:v>
      </x:c>
      <x:c r="L36" s="19"/>
      <x:c r="M36" s="13" t="str">
        <x:v>상품 구매액은 개인별 선택 예산. 확인되지 않은 입장료·예상 지출은 빈칸 유지.</x:v>
      </x:c>
      <x:c r="N36" s="13" t="str">
        <x:v>https://jp.bape.com/pages/store-list/osaka</x:v>
      </x:c>
      <x:c r="O36" s="13" t="str">
        <x:v>official_web_review</x:v>
      </x:c>
      <x:c r="P36" s="21" t="d">
        <x:v>2026-10-19T00:00:00.000Z</x:v>
      </x:c>
      <x:c r="Q36" s="13" t="str">
        <x:v>실제 입구·좌표, 주요 이용 공간, 체류시간·방문일 예외 확인. 시설과 입점 매장을 같은 일정에 중복 배치하지 않도록 관계 확인.</x:v>
      </x:c>
      <x:c r="R36" s="13"/>
      <x:c r="S36" s="15"/>
      <x:c r="T36" s="15"/>
      <x:c r="U36" s="23"/>
      <x:c r="V36" s="15"/>
      <x:c r="W36" s="20"/>
      <x:c r="X36" s="15"/>
      <x:c r="Y36" s="13" t="str">
        <x:v>베이프 스토어 오사카점 | BAPE STORE OSAKA | BAPE 오사카 | 베이프 남호리에</x:v>
      </x:c>
    </x:row>
    <x:row r="37" ht="115" customHeight="1">
      <x:c r="A37" s="13" t="str">
        <x:v>branch_bape_hankyu_mens</x:v>
      </x:c>
      <x:c r="B37" s="13" t="str">
        <x:v>신규 후보</x:v>
      </x:c>
      <x:c r="C37" s="13" t="str">
        <x:v>베이프</x:v>
      </x:c>
      <x:c r="D37" s="13" t="str">
        <x:v>베이프 한큐 맨즈 오사카점</x:v>
      </x:c>
      <x:c r="E37" s="13" t="str">
        <x:v>BAPE STORE HANKYU MEN’S OSAKA</x:v>
      </x:c>
      <x:c r="F37" s="13" t="str">
        <x:v>우메다</x:v>
      </x:c>
      <x:c r="G37" s="13" t="str">
        <x:v>쇼핑</x:v>
      </x:c>
      <x:c r="H37" s="13" t="str">
        <x:v>스트리트 의류</x:v>
      </x:c>
      <x:c r="I37" s="13" t="str">
        <x:v>大阪府大阪市北区角田町7-10 阪急メンズ大阪5F</x:v>
      </x:c>
      <x:c r="J37" s="13" t="str">
        <x:v>평일11:00~20:00 / 토·일·공휴일10:00~20:00</x:v>
      </x:c>
      <x:c r="K37" s="13" t="str">
        <x:v>백화점 휴관·발매일 조건 확인. 개점 당시 추첨을 상시 조건으로 적용하지 않음.</x:v>
      </x:c>
      <x:c r="L37" s="19"/>
      <x:c r="M37" s="13" t="str">
        <x:v>상품 구매액은 개인별 선택 예산. 확인되지 않은 입장료·예상 지출은 빈칸 유지.</x:v>
      </x:c>
      <x:c r="N37" s="13" t="str">
        <x:v>https://jp.bape.com/pages/store-list
https://jp.bape.com/blogs/news/bapestore-hankyumens</x:v>
      </x:c>
      <x:c r="O37" s="13" t="str">
        <x:v>official_web_review</x:v>
      </x:c>
      <x:c r="P37" s="21" t="d">
        <x:v>2026-10-19T00:00:00.000Z</x:v>
      </x:c>
      <x:c r="Q37" s="13" t="str">
        <x:v>실제 입구·좌표, 주요 이용 공간, 체류시간·방문일 예외 확인. 시설과 입점 매장을 같은 일정에 중복 배치하지 않도록 관계 확인.</x:v>
      </x:c>
      <x:c r="R37" s="13"/>
      <x:c r="S37" s="15"/>
      <x:c r="T37" s="15"/>
      <x:c r="U37" s="23"/>
      <x:c r="V37" s="15"/>
      <x:c r="W37" s="20"/>
      <x:c r="X37" s="15"/>
      <x:c r="Y37" s="13" t="str">
        <x:v>베이프 한큐 맨즈 오사카점 | BAPE STORE HANKYU MEN’S OSAKA</x:v>
      </x:c>
    </x:row>
    <x:row r="38" ht="115" customHeight="1">
      <x:c r="A38" s="13" t="str">
        <x:v>branch_bape_cdg_osaka</x:v>
      </x:c>
      <x:c r="B38" s="13" t="str">
        <x:v>신규 후보</x:v>
      </x:c>
      <x:c r="C38" s="13" t="str">
        <x:v>베이프</x:v>
      </x:c>
      <x:c r="D38" s="13" t="str">
        <x:v>베이프 스토어 (꼼데가르송 오사카 내)</x:v>
      </x:c>
      <x:c r="E38" s="13" t="str">
        <x:v>BAPE STORE COMME DES GARCONS OSAKA</x:v>
      </x:c>
      <x:c r="F38" s="13" t="str">
        <x:v>미나미센바</x:v>
      </x:c>
      <x:c r="G38" s="13" t="str">
        <x:v>쇼핑</x:v>
      </x:c>
      <x:c r="H38" s="13" t="str">
        <x:v>스트리트 의류</x:v>
      </x:c>
      <x:c r="I38" s="13" t="str">
        <x:v>大阪府大阪市中央区南船場4-4-21</x:v>
      </x:c>
      <x:c r="J38" s="13" t="str">
        <x:v>11:00~20:00</x:v>
      </x:c>
      <x:c r="K38" s="13" t="str">
        <x:v>꼼데가르송 건물 안의 BAPE 매장. 신상품 입장 추첨은 발매일별 확인.</x:v>
      </x:c>
      <x:c r="L38" s="19"/>
      <x:c r="M38" s="13" t="str">
        <x:v>상품 구매액은 개인별 선택 예산. 확인되지 않은 입장료·예상 지출은 빈칸 유지.</x:v>
      </x:c>
      <x:c r="N38" s="13" t="str">
        <x:v>https://jp.bape.com/pages/store-list/cdg-osaka</x:v>
      </x:c>
      <x:c r="O38" s="13" t="str">
        <x:v>official_web_review</x:v>
      </x:c>
      <x:c r="P38" s="21" t="d">
        <x:v>2026-10-19T00:00:00.000Z</x:v>
      </x:c>
      <x:c r="Q38" s="13" t="str">
        <x:v>꼼데가르송 오사카점 내부 매장 관계. 별도 거리 이동 장소로 중복 계산하지 않음. 실제 입구·좌표, 주요 이용 공간, 체류시간·방문일 예외 확인. 시설과 입점 매장을 같은 일정에 중복 배치하지 않도록 관계 확인.</x:v>
      </x:c>
      <x:c r="R38" s="13"/>
      <x:c r="S38" s="15"/>
      <x:c r="T38" s="15"/>
      <x:c r="U38" s="23"/>
      <x:c r="V38" s="15"/>
      <x:c r="W38" s="20"/>
      <x:c r="X38" s="15"/>
      <x:c r="Y38" s="13" t="str">
        <x:v>베이프 꼼데가르송 오사카점 | BAPE STORE COMME DES GARCONS OSAKA</x:v>
      </x:c>
    </x:row>
    <x:row r="39" ht="115" customHeight="1">
      <x:c r="A39" s="13" t="str">
        <x:v>branch_humanmade_shinsaibashi</x:v>
      </x:c>
      <x:c r="B39" s="13" t="str">
        <x:v>신규 후보</x:v>
      </x:c>
      <x:c r="C39" s="13" t="str">
        <x:v>휴먼메이드</x:v>
      </x:c>
      <x:c r="D39" s="13" t="str">
        <x:v>휴먼메이드 신사이바시 PARCO점</x:v>
      </x:c>
      <x:c r="E39" s="13" t="str">
        <x:v>HUMAN MADE SHINSAIBASHI PARCO</x:v>
      </x:c>
      <x:c r="F39" s="13" t="str">
        <x:v>신사이바시</x:v>
      </x:c>
      <x:c r="G39" s="13" t="str">
        <x:v>쇼핑</x:v>
      </x:c>
      <x:c r="H39" s="13" t="str">
        <x:v>의류·패션잡화</x:v>
      </x:c>
      <x:c r="I39" s="13" t="str">
        <x:v>大阪府大阪市中央区心斎橋筋1-8-3 心斎橋PARCO1F</x:v>
      </x:c>
      <x:c r="J39" s="13" t="str">
        <x:v>10:00~20:00</x:v>
      </x:c>
      <x:c r="K39" s="13" t="str">
        <x:v>시설의 현재 단축영업 기준. 발매일 입장 조건·휴관일 확인.</x:v>
      </x:c>
      <x:c r="L39" s="19"/>
      <x:c r="M39" s="13" t="str">
        <x:v>상품 구매액은 개인별 선택 예산. 확인되지 않은 입장료·예상 지출은 빈칸 유지.</x:v>
      </x:c>
      <x:c r="N39" s="13" t="str">
        <x:v>https://shinsaibashi.parco.jp/shop/detail/?cd=028077</x:v>
      </x:c>
      <x:c r="O39" s="13" t="str">
        <x:v>official_mall_listing</x:v>
      </x:c>
      <x:c r="P39" s="21" t="d">
        <x:v>2026-10-19T00:00:00.000Z</x:v>
      </x:c>
      <x:c r="Q39" s="13" t="str">
        <x:v>실제 입구·좌표, 주요 이용 공간, 체류시간·방문일 예외 확인. 시설과 입점 매장을 같은 일정에 중복 배치하지 않도록 관계 확인.</x:v>
      </x:c>
      <x:c r="R39" s="13"/>
      <x:c r="S39" s="15"/>
      <x:c r="T39" s="15"/>
      <x:c r="U39" s="23"/>
      <x:c r="V39" s="15"/>
      <x:c r="W39" s="20"/>
      <x:c r="X39" s="15"/>
      <x:c r="Y39" s="13" t="str">
        <x:v>휴먼메이드 신사이바시 PARCO점 | HUMAN MADE SHINSAIBASHI PARCO | 휴먼 메이드 신사이바시 파르코</x:v>
      </x:c>
    </x:row>
    <x:row r="40" ht="115" customHeight="1">
      <x:c r="A40" s="13" t="str">
        <x:v>branch_porter_osaka</x:v>
      </x:c>
      <x:c r="B40" s="13" t="str">
        <x:v>신규 후보</x:v>
      </x:c>
      <x:c r="C40" s="13" t="str">
        <x:v>포터</x:v>
      </x:c>
      <x:c r="D40" s="13" t="str">
        <x:v>포터 오사카점</x:v>
      </x:c>
      <x:c r="E40" s="13" t="str">
        <x:v>PORTER OSAKA</x:v>
      </x:c>
      <x:c r="F40" s="13" t="str">
        <x:v>우메다</x:v>
      </x:c>
      <x:c r="G40" s="13" t="str">
        <x:v>쇼핑</x:v>
      </x:c>
      <x:c r="H40" s="13" t="str">
        <x:v>가방·지갑</x:v>
      </x:c>
      <x:c r="I40" s="13" t="str">
        <x:v>大阪府大阪市北区大深町4-20 グランフロント大阪 南館3F</x:v>
      </x:c>
      <x:c r="J40" s="13" t="str">
        <x:v>11:00~21:00</x:v>
      </x:c>
      <x:c r="K40" s="13" t="str">
        <x:v>시설 휴관일 확인.2025년 확장 후 현재 남관3층 안내.</x:v>
      </x:c>
      <x:c r="L40" s="19"/>
      <x:c r="M40" s="13" t="str">
        <x:v>상품 구매액은 개인별 선택 예산. 확인되지 않은 입장료·예상 지출은 빈칸 유지.</x:v>
      </x:c>
      <x:c r="N40" s="13" t="str">
        <x:v>https://www.gfo-sc.jp/shop-detail/porter/
https://store.montbell.jp/search/shopinfo/?shop_no=678503</x:v>
      </x:c>
      <x:c r="O40" s="13" t="str">
        <x:v>official_mall_listing</x:v>
      </x:c>
      <x:c r="P40" s="21" t="d">
        <x:v>2026-10-19T00:00:00.000Z</x:v>
      </x:c>
      <x:c r="Q40" s="13" t="str">
        <x:v>남관 공통 주소는 공식 입점 매장 안내로 교차 확인; PORTER 층·시간은 해당 매장 안내 기준. 실제 입구·좌표, 주요 이용 공간, 체류시간·방문일 예외 확인. 시설과 입점 매장을 같은 일정에 중복 배치하지 않도록 관계 확인.</x:v>
      </x:c>
      <x:c r="R40" s="13"/>
      <x:c r="S40" s="15"/>
      <x:c r="T40" s="15"/>
      <x:c r="U40" s="23"/>
      <x:c r="V40" s="15"/>
      <x:c r="W40" s="20"/>
      <x:c r="X40" s="15"/>
      <x:c r="Y40" s="13" t="str">
        <x:v>포터 오사카점 | PORTER OSAKA</x:v>
      </x:c>
    </x:row>
    <x:row r="41" ht="115" customHeight="1">
      <x:c r="A41" s="13" t="str">
        <x:v>branch_porter_cloakroom_hankyu</x:v>
      </x:c>
      <x:c r="B41" s="13" t="str">
        <x:v>신규 후보</x:v>
      </x:c>
      <x:c r="C41" s="13" t="str">
        <x:v>포터</x:v>
      </x:c>
      <x:c r="D41" s="13" t="str">
        <x:v>클로크룸 바이 포터 한큐 우메다점</x:v>
      </x:c>
      <x:c r="E41" s="13" t="str">
        <x:v>CLOAKROOM by PORTER HANKYU UMEDA</x:v>
      </x:c>
      <x:c r="F41" s="13" t="str">
        <x:v>우메다</x:v>
      </x:c>
      <x:c r="G41" s="13" t="str">
        <x:v>쇼핑</x:v>
      </x:c>
      <x:c r="H41" s="13" t="str">
        <x:v>가방·여행가방</x:v>
      </x:c>
      <x:c r="I41" s="13" t="str">
        <x:v>大阪府大阪市北区角田町8-7 阪急うめだ本店8F</x:v>
      </x:c>
      <x:c r="J41" s="13" t="str">
        <x:v>시설 안내10:00~20:00 (매장 예외 추가 확인)</x:v>
      </x:c>
      <x:c r="K41" s="13" t="str">
        <x:v>한큐 우메다 본점8층 입점 매장. PORTER OSAKA와 별도 지점.</x:v>
      </x:c>
      <x:c r="L41" s="19"/>
      <x:c r="M41" s="13" t="str">
        <x:v>상품 구매액은 개인별 선택 예산. 확인되지 않은 입장료·예상 지출은 빈칸 유지.</x:v>
      </x:c>
      <x:c r="N41" s="13" t="str">
        <x:v>https://website.hankyu-dept.co.jp/honten/cat/mens/h/with_local/
https://www.hankyu-dept.co.jp/honten/map/index.html</x:v>
      </x:c>
      <x:c r="O41" s="13" t="str">
        <x:v>official_mall_listing</x:v>
      </x:c>
      <x:c r="P41" s="21" t="d">
        <x:v>2026-10-19T00:00:00.000Z</x:v>
      </x:c>
      <x:c r="Q41" s="13" t="str">
        <x:v>실제 입구·좌표, 주요 이용 공간, 체류시간·방문일 예외 확인. 시설과 입점 매장을 같은 일정에 중복 배치하지 않도록 관계 확인.</x:v>
      </x:c>
      <x:c r="R41" s="13"/>
      <x:c r="S41" s="15"/>
      <x:c r="T41" s="15"/>
      <x:c r="U41" s="23"/>
      <x:c r="V41" s="15"/>
      <x:c r="W41" s="20"/>
      <x:c r="X41" s="15"/>
      <x:c r="Y41" s="13" t="str">
        <x:v>클로크룸 바이 포터 한큐 우메다점 | CLOAKROOM by PORTER HANKYU UMEDA</x:v>
      </x:c>
    </x:row>
    <x:row r="42" ht="115" customHeight="1">
      <x:c r="A42" s="13" t="str">
        <x:v>branch_zara_shinsaibashi</x:v>
      </x:c>
      <x:c r="B42" s="13" t="str">
        <x:v>신규 후보</x:v>
      </x:c>
      <x:c r="C42" s="13" t="str">
        <x:v>ZARA</x:v>
      </x:c>
      <x:c r="D42" s="13" t="str">
        <x:v>자라 신사이바시점</x:v>
      </x:c>
      <x:c r="E42" s="13" t="str">
        <x:v>ZARA 心斎橋店</x:v>
      </x:c>
      <x:c r="F42" s="13" t="str">
        <x:v>신사이바시</x:v>
      </x:c>
      <x:c r="G42" s="13" t="str">
        <x:v>쇼핑</x:v>
      </x:c>
      <x:c r="H42" s="13" t="str">
        <x:v>여성·아동 의류</x:v>
      </x:c>
      <x:c r="I42" s="13" t="str">
        <x:v>大阪府大阪市中央区心斎橋筋1-9-1 心斎橋ZERO GATE</x:v>
      </x:c>
      <x:c r="J42" s="13" t="str">
        <x:v>10:00~22:00</x:v>
      </x:c>
      <x:c r="K42" s="13" t="str">
        <x:v>상점가 공식 안내: 정기휴무 없음. 카페와 쇼핑 이용은 구분.</x:v>
      </x:c>
      <x:c r="L42" s="19"/>
      <x:c r="M42" s="13" t="str">
        <x:v>상품 구매액은 개인별 선택 예산. 확인되지 않은 입장료·예상 지출은 빈칸 유지.</x:v>
      </x:c>
      <x:c r="N42" s="13" t="str">
        <x:v>https://www.shinsaibashi.or.jp/stores/show/280/ZARA</x:v>
      </x:c>
      <x:c r="O42" s="13" t="str">
        <x:v>official_shopping_street_listing</x:v>
      </x:c>
      <x:c r="P42" s="21" t="d">
        <x:v>2026-10-19T00:00:00.000Z</x:v>
      </x:c>
      <x:c r="Q42" s="13" t="str">
        <x:v>실제 입구·좌표, 주요 이용 공간, 체류시간·방문일 예외 확인. 시설과 입점 매장을 같은 일정에 중복 배치하지 않도록 관계 확인.</x:v>
      </x:c>
      <x:c r="R42" s="13"/>
      <x:c r="S42" s="15"/>
      <x:c r="T42" s="15"/>
      <x:c r="U42" s="23"/>
      <x:c r="V42" s="15"/>
      <x:c r="W42" s="20"/>
      <x:c r="X42" s="15"/>
      <x:c r="Y42" s="13" t="str">
        <x:v>자라 신사이바시점 | ZARA 心斎橋店 | ZARA Shinsaibashi</x:v>
      </x:c>
    </x:row>
    <x:row r="43" ht="115" customHeight="1">
      <x:c r="A43" s="13" t="str">
        <x:v>branch_zara_man_shinsaibashi</x:v>
      </x:c>
      <x:c r="B43" s="13" t="str">
        <x:v>신규 후보</x:v>
      </x:c>
      <x:c r="C43" s="13" t="str">
        <x:v>ZARA</x:v>
      </x:c>
      <x:c r="D43" s="13" t="str">
        <x:v>자라 맨 신사이바시스지점</x:v>
      </x:c>
      <x:c r="E43" s="13" t="str">
        <x:v>ZARA MAN 心斎橋筋店</x:v>
      </x:c>
      <x:c r="F43" s="13" t="str">
        <x:v>신사이바시</x:v>
      </x:c>
      <x:c r="G43" s="13" t="str">
        <x:v>쇼핑</x:v>
      </x:c>
      <x:c r="H43" s="13" t="str">
        <x:v>남성 의류</x:v>
      </x:c>
      <x:c r="I43" s="13" t="str">
        <x:v>大阪府大阪市中央区心斎橋筋2-3-23 TESTA心斎橋</x:v>
      </x:c>
      <x:c r="J43" s="13" t="str">
        <x:v>10:30~22:00</x:v>
      </x:c>
      <x:c r="K43" s="13" t="str">
        <x:v>상점가 공식 안내: 정기휴무 없음. 여성·아동 매장과 다른 주소.</x:v>
      </x:c>
      <x:c r="L43" s="19"/>
      <x:c r="M43" s="13" t="str">
        <x:v>상품 구매액은 개인별 선택 예산. 확인되지 않은 입장료·예상 지출은 빈칸 유지.</x:v>
      </x:c>
      <x:c r="N43" s="13" t="str">
        <x:v>https://www.shinsaibashi.or.jp/stores/show/842/ZARA%20MAN%20%E5%BF%83%E6%96%8E%E6%A9%8B%E7%AD%8B%E5%BA%97</x:v>
      </x:c>
      <x:c r="O43" s="13" t="str">
        <x:v>official_shopping_street_listing</x:v>
      </x:c>
      <x:c r="P43" s="21" t="d">
        <x:v>2026-10-19T00:00:00.000Z</x:v>
      </x:c>
      <x:c r="Q43" s="13" t="str">
        <x:v>실제 입구·좌표, 주요 이용 공간, 체류시간·방문일 예외 확인. 시설과 입점 매장을 같은 일정에 중복 배치하지 않도록 관계 확인.</x:v>
      </x:c>
      <x:c r="R43" s="13"/>
      <x:c r="S43" s="15"/>
      <x:c r="T43" s="15"/>
      <x:c r="U43" s="23"/>
      <x:c r="V43" s="15"/>
      <x:c r="W43" s="20"/>
      <x:c r="X43" s="15"/>
      <x:c r="Y43" s="13" t="str">
        <x:v>자라 맨 신사이바시스지점 | ZARA MAN 心斎橋筋店 | ZARA MAN Shinsaibashi</x:v>
      </x:c>
    </x:row>
    <x:row r="44" ht="115" customHeight="1">
      <x:c r="A44" s="13" t="str">
        <x:v>branch_cdg_osaka</x:v>
      </x:c>
      <x:c r="B44" s="13" t="str">
        <x:v>신규 후보</x:v>
      </x:c>
      <x:c r="C44" s="13" t="str">
        <x:v>꼼데가르송</x:v>
      </x:c>
      <x:c r="D44" s="13" t="str">
        <x:v>꼼데가르송 오사카점</x:v>
      </x:c>
      <x:c r="E44" s="13" t="str">
        <x:v>Comme des Garçons 大阪店</x:v>
      </x:c>
      <x:c r="F44" s="13" t="str">
        <x:v>미나미센바</x:v>
      </x:c>
      <x:c r="G44" s="13" t="str">
        <x:v>쇼핑</x:v>
      </x:c>
      <x:c r="H44" s="13" t="str">
        <x:v>디자이너 의류</x:v>
      </x:c>
      <x:c r="I44" s="13" t="str">
        <x:v>大阪府大阪市中央区南船場4-4-21</x:v>
      </x:c>
      <x:c r="J44" s="13"/>
      <x:c r="K44" s="13" t="str">
        <x:v>공식 매장 목록에서 주소 확인. 전체 매장 영업시간은 추가 확인; 입점 BAPE의 시간을 전체 매장에 복사하지 않음.</x:v>
      </x:c>
      <x:c r="L44" s="19"/>
      <x:c r="M44" s="13" t="str">
        <x:v>상품 구매액은 개인별 선택 예산. 확인되지 않은 입장료·예상 지출은 빈칸 유지.</x:v>
      </x:c>
      <x:c r="N44" s="13" t="str">
        <x:v>https://www.comme-des-garcons.com/stores/</x:v>
      </x:c>
      <x:c r="O44" s="13" t="str">
        <x:v>official_web_review</x:v>
      </x:c>
      <x:c r="P44" s="21" t="d">
        <x:v>2026-10-19T00:00:00.000Z</x:v>
      </x:c>
      <x:c r="Q44" s="13" t="str">
        <x:v>취급 라인(PLAY 등)·전체 매장 시간 추가 확인. BAPE 내부 매장과 중복 일정 주의. 실제 입구·좌표, 주요 이용 공간, 체류시간·방문일 예외 확인. 시설과 입점 매장을 같은 일정에 중복 배치하지 않도록 관계 확인.</x:v>
      </x:c>
      <x:c r="R44" s="13"/>
      <x:c r="S44" s="15"/>
      <x:c r="T44" s="15"/>
      <x:c r="U44" s="23"/>
      <x:c r="V44" s="15"/>
      <x:c r="W44" s="20"/>
      <x:c r="X44" s="15"/>
      <x:c r="Y44" s="13" t="str">
        <x:v>꼼데가르송 오사카점 | Comme des Garçons 大阪店 | 꼼 데 가르송 오사카 | 콤데가르송 오사카</x:v>
      </x:c>
    </x:row>
    <x:row r="45" ht="115" customHeight="1">
      <x:c r="A45" s="13" t="str">
        <x:v>branch_matsukiyo_dotonbori1</x:v>
      </x:c>
      <x:c r="B45" s="13" t="str">
        <x:v>신규 후보</x:v>
      </x:c>
      <x:c r="C45" s="13" t="str">
        <x:v>마츠모토키요시</x:v>
      </x:c>
      <x:c r="D45" s="13" t="str">
        <x:v>마츠모토키요시 도톤보리 1초메점</x:v>
      </x:c>
      <x:c r="E45" s="13" t="str">
        <x:v>薬 マツモトキヨシ 道頓堀一丁目店</x:v>
      </x:c>
      <x:c r="F45" s="13" t="str">
        <x:v>난바·도톤보리</x:v>
      </x:c>
      <x:c r="G45" s="13" t="str">
        <x:v>쇼핑</x:v>
      </x:c>
      <x:c r="H45" s="13" t="str">
        <x:v>드럭스토어·화장품</x:v>
      </x:c>
      <x:c r="I45" s="13" t="str">
        <x:v>大阪府大阪市中央区道頓堀1-4-27 道頓堀1丁目プロジェクト</x:v>
      </x:c>
      <x:c r="J45" s="13" t="str">
        <x:v>월~일·공휴일10:00~24:00</x:v>
      </x:c>
      <x:c r="K45" s="13" t="str">
        <x:v>정기휴무 없음. 소매 매장 시간이며 조제약 접수시간으로 간주하지 않음.</x:v>
      </x:c>
      <x:c r="L45" s="19"/>
      <x:c r="M45" s="13" t="str">
        <x:v>상품 구매액은 개인별 선택 예산. 확인되지 않은 입장료·예상 지출은 빈칸 유지.</x:v>
      </x:c>
      <x:c r="N45" s="13" t="str">
        <x:v>https://www.matsukiyococokara-online.com/map/?kid=10001629</x:v>
      </x:c>
      <x:c r="O45" s="13" t="str">
        <x:v>official_web_review</x:v>
      </x:c>
      <x:c r="P45" s="21" t="d">
        <x:v>2026-10-19T00:00:00.000Z</x:v>
      </x:c>
      <x:c r="Q45" s="13" t="str">
        <x:v>실제 입구·좌표, 주요 이용 공간, 체류시간·방문일 예외 확인. 시설과 입점 매장을 같은 일정에 중복 배치하지 않도록 관계 확인.</x:v>
      </x:c>
      <x:c r="R45" s="13"/>
      <x:c r="S45" s="15"/>
      <x:c r="T45" s="15"/>
      <x:c r="U45" s="23"/>
      <x:c r="V45" s="15"/>
      <x:c r="W45" s="20"/>
      <x:c r="X45" s="15"/>
      <x:c r="Y45" s="13" t="str">
        <x:v>마츠모토키요시 도톤보리 1초메점 | 薬 マツモトキヨシ 道頓堀一丁目店 | 마츠키요 도톤보리 1초메</x:v>
      </x:c>
    </x:row>
    <x:row r="46" ht="115" customHeight="1">
      <x:c r="A46" s="13" t="str">
        <x:v>branch_matsukiyo_shinsaibashi_chuo</x:v>
      </x:c>
      <x:c r="B46" s="13" t="str">
        <x:v>신규 후보</x:v>
      </x:c>
      <x:c r="C46" s="13" t="str">
        <x:v>마츠모토키요시</x:v>
      </x:c>
      <x:c r="D46" s="13" t="str">
        <x:v>마츠모토키요시 신사이바시 중앙점</x:v>
      </x:c>
      <x:c r="E46" s="13" t="str">
        <x:v>薬 マツモトキヨシ 心斎橋中央店</x:v>
      </x:c>
      <x:c r="F46" s="13" t="str">
        <x:v>신사이바시</x:v>
      </x:c>
      <x:c r="G46" s="13" t="str">
        <x:v>쇼핑</x:v>
      </x:c>
      <x:c r="H46" s="13" t="str">
        <x:v>드럭스토어·화장품</x:v>
      </x:c>
      <x:c r="I46" s="13" t="str">
        <x:v>大阪府大阪市中央区心斎橋筋1-6-10</x:v>
      </x:c>
      <x:c r="J46" s="13" t="str">
        <x:v>월~일·공휴일10:00~23:00</x:v>
      </x:c>
      <x:c r="K46" s="13" t="str">
        <x:v>정기휴무 없음. 소매 매장 시간 기준.</x:v>
      </x:c>
      <x:c r="L46" s="19"/>
      <x:c r="M46" s="13" t="str">
        <x:v>상품 구매액은 개인별 선택 예산. 확인되지 않은 입장료·예상 지출은 빈칸 유지.</x:v>
      </x:c>
      <x:c r="N46" s="13" t="str">
        <x:v>https://www.matsukiyococokara-online.com/map/?kid=10001671</x:v>
      </x:c>
      <x:c r="O46" s="13" t="str">
        <x:v>official_web_review</x:v>
      </x:c>
      <x:c r="P46" s="21" t="d">
        <x:v>2026-10-19T00:00:00.000Z</x:v>
      </x:c>
      <x:c r="Q46" s="13" t="str">
        <x:v>실제 입구·좌표, 주요 이용 공간, 체류시간·방문일 예외 확인. 시설과 입점 매장을 같은 일정에 중복 배치하지 않도록 관계 확인.</x:v>
      </x:c>
      <x:c r="R46" s="13"/>
      <x:c r="S46" s="15"/>
      <x:c r="T46" s="15"/>
      <x:c r="U46" s="23"/>
      <x:c r="V46" s="15"/>
      <x:c r="W46" s="20"/>
      <x:c r="X46" s="15"/>
      <x:c r="Y46" s="13" t="str">
        <x:v>마츠모토키요시 신사이바시 중앙점 | 薬 マツモトキヨシ 心斎橋中央店 | 마츠키요 신사이바시 중앙</x:v>
      </x:c>
    </x:row>
    <x:row r="47" ht="115" customHeight="1">
      <x:c r="A47" s="13" t="str">
        <x:v>branch_daikoku_dotonbori</x:v>
      </x:c>
      <x:c r="B47" s="13" t="str">
        <x:v>신규 후보</x:v>
      </x:c>
      <x:c r="C47" s="13" t="str">
        <x:v>다이코쿠 드럭</x:v>
      </x:c>
      <x:c r="D47" s="13" t="str">
        <x:v>다이코쿠 드럭 도톤보리점</x:v>
      </x:c>
      <x:c r="E47" s="13" t="str">
        <x:v>ダイコクドラッグ 道頓堀店</x:v>
      </x:c>
      <x:c r="F47" s="13" t="str">
        <x:v>난바·도톤보리</x:v>
      </x:c>
      <x:c r="G47" s="13" t="str">
        <x:v>쇼핑</x:v>
      </x:c>
      <x:c r="H47" s="13" t="str">
        <x:v>드럭스토어·화장품</x:v>
      </x:c>
      <x:c r="I47" s="13" t="str">
        <x:v>大阪府大阪市中央区心斎橋筋2-3-19 ヨシモトビルディング3F</x:v>
      </x:c>
      <x:c r="J47" s="13" t="str">
        <x:v>10:05~23:20</x:v>
      </x:c>
      <x:c r="K47" s="13" t="str">
        <x:v>공식 안내의 분 단위 시간을 그대로 기록. 정기휴무 추가 확인.</x:v>
      </x:c>
      <x:c r="L47" s="19"/>
      <x:c r="M47" s="13" t="str">
        <x:v>상품 구매액은 개인별 선택 예산. 확인되지 않은 입장료·예상 지출은 빈칸 유지.</x:v>
      </x:c>
      <x:c r="N47" s="13" t="str">
        <x:v>https://daikokudrug.com/store/604/</x:v>
      </x:c>
      <x:c r="O47" s="13" t="str">
        <x:v>official_web_review</x:v>
      </x:c>
      <x:c r="P47" s="21" t="d">
        <x:v>2026-10-19T00:00:00.000Z</x:v>
      </x:c>
      <x:c r="Q47" s="13" t="str">
        <x:v>실제 입구·좌표, 주요 이용 공간, 체류시간·방문일 예외 확인. 시설과 입점 매장을 같은 일정에 중복 배치하지 않도록 관계 확인.</x:v>
      </x:c>
      <x:c r="R47" s="13"/>
      <x:c r="S47" s="15"/>
      <x:c r="T47" s="15"/>
      <x:c r="U47" s="23"/>
      <x:c r="V47" s="15"/>
      <x:c r="W47" s="20"/>
      <x:c r="X47" s="15"/>
      <x:c r="Y47" s="13" t="str">
        <x:v>다이코쿠 드럭 도톤보리점 | ダイコクドラッグ 道頓堀店 | 다이코쿠 드러그 도톤보리 | Daikoku Drug Dotonbori</x:v>
      </x:c>
    </x:row>
    <x:row r="48" ht="115" customHeight="1">
      <x:c r="A48" s="13" t="str">
        <x:v>branch_daimaru_shinsaibashi</x:v>
      </x:c>
      <x:c r="B48" s="13" t="str">
        <x:v>보완</x:v>
      </x:c>
      <x:c r="C48" s="13" t="str">
        <x:v>다이마루</x:v>
      </x:c>
      <x:c r="D48" s="13" t="str">
        <x:v>다이마루 신사이바시점 본관</x:v>
      </x:c>
      <x:c r="E48" s="13" t="str">
        <x:v>大丸 心斎橋店 本館</x:v>
      </x:c>
      <x:c r="F48" s="13" t="str">
        <x:v>신사이바시</x:v>
      </x:c>
      <x:c r="G48" s="13" t="str">
        <x:v>쇼핑</x:v>
      </x:c>
      <x:c r="H48" s="13" t="str">
        <x:v>백화점</x:v>
      </x:c>
      <x:c r="I48" s="13" t="str">
        <x:v>大阪府大阪市中央区心斎橋筋1-7-1</x:v>
      </x:c>
      <x:c r="J48" s="13" t="str">
        <x:v>일반 매장10:00~20:00</x:v>
      </x:c>
      <x:c r="K48" s="13" t="str">
        <x:v>1/1·1/2 휴점 안내. 식당·남관·개별 매장은 별도 시간. 기존 장소 ID 유지.</x:v>
      </x:c>
      <x:c r="L48" s="19"/>
      <x:c r="M48" s="13" t="str">
        <x:v>상품 구매액은 개인별 선택 예산. 확인되지 않은 입장료·예상 지출은 빈칸 유지.</x:v>
      </x:c>
      <x:c r="N48" s="13" t="str">
        <x:v>https://www.daimaru.co.jp/shinsaibashi/hours.html</x:v>
      </x:c>
      <x:c r="O48" s="13" t="str">
        <x:v>official_web_review</x:v>
      </x:c>
      <x:c r="P48" s="21" t="d">
        <x:v>2026-10-19T00:00:00.000Z</x:v>
      </x:c>
      <x:c r="Q48" s="13" t="str">
        <x:v>실제 입구·좌표, 주요 이용 공간, 체류시간·방문일 예외 확인. 시설과 입점 매장을 같은 일정에 중복 배치하지 않도록 관계 확인.</x:v>
      </x:c>
      <x:c r="R48" s="13" t="str">
        <x:v>osaka_022</x:v>
      </x:c>
      <x:c r="S48" s="15"/>
      <x:c r="T48" s="15"/>
      <x:c r="U48" s="23"/>
      <x:c r="V48" s="15"/>
      <x:c r="W48" s="20"/>
      <x:c r="X48" s="15"/>
      <x:c r="Y48" s="13" t="str">
        <x:v>다이마루 신사이바시점 본관 | 大丸 心斎橋店 本館</x:v>
      </x:c>
    </x:row>
    <x:row r="49" ht="115" customHeight="1">
      <x:c r="A49" s="13" t="str">
        <x:v>branch_daimaru_umeda</x:v>
      </x:c>
      <x:c r="B49" s="13" t="str">
        <x:v>신규 후보</x:v>
      </x:c>
      <x:c r="C49" s="13" t="str">
        <x:v>다이마루</x:v>
      </x:c>
      <x:c r="D49" s="13" t="str">
        <x:v>다이마루 우메다점</x:v>
      </x:c>
      <x:c r="E49" s="13" t="str">
        <x:v>大丸 梅田店</x:v>
      </x:c>
      <x:c r="F49" s="13" t="str">
        <x:v>우메다</x:v>
      </x:c>
      <x:c r="G49" s="13" t="str">
        <x:v>쇼핑</x:v>
      </x:c>
      <x:c r="H49" s="13" t="str">
        <x:v>백화점</x:v>
      </x:c>
      <x:c r="I49" s="13" t="str">
        <x:v>大阪府大阪市北区梅田3-1-1</x:v>
      </x:c>
      <x:c r="J49" s="13" t="str">
        <x:v>10:00~20:00</x:v>
      </x:c>
      <x:c r="K49" s="13" t="str">
        <x:v>1/1·1/2 휴점 안내. 현재 루쿠아 사우스13층 Nintendo·포켓몬 매장과 시설 명칭 구분.</x:v>
      </x:c>
      <x:c r="L49" s="19"/>
      <x:c r="M49" s="13" t="str">
        <x:v>상품 구매액은 개인별 선택 예산. 확인되지 않은 입장료·예상 지출은 빈칸 유지.</x:v>
      </x:c>
      <x:c r="N49" s="13" t="str">
        <x:v>https://www.daimaru.co.jp/umedamise/hours.html</x:v>
      </x:c>
      <x:c r="O49" s="13" t="str">
        <x:v>official_web_review</x:v>
      </x:c>
      <x:c r="P49" s="21" t="d">
        <x:v>2026-10-19T00:00:00.000Z</x:v>
      </x:c>
      <x:c r="Q49" s="13" t="str">
        <x:v>실제 입구·좌표, 주요 이용 공간, 체류시간·방문일 예외 확인. 시설과 입점 매장을 같은 일정에 중복 배치하지 않도록 관계 확인.</x:v>
      </x:c>
      <x:c r="R49" s="13"/>
      <x:c r="S49" s="15"/>
      <x:c r="T49" s="15"/>
      <x:c r="U49" s="23"/>
      <x:c r="V49" s="15"/>
      <x:c r="W49" s="20"/>
      <x:c r="X49" s="15"/>
      <x:c r="Y49" s="13" t="str">
        <x:v>다이마루 우메다점 | 大丸 梅田店</x:v>
      </x:c>
    </x:row>
    <x:row r="50" ht="115" customHeight="1">
      <x:c r="A50" s="13" t="str">
        <x:v>branch_hankyu_umeda</x:v>
      </x:c>
      <x:c r="B50" s="13" t="str">
        <x:v>보완</x:v>
      </x:c>
      <x:c r="C50" s="13" t="str">
        <x:v>한큐</x:v>
      </x:c>
      <x:c r="D50" s="13" t="str">
        <x:v>한큐 우메다 본점</x:v>
      </x:c>
      <x:c r="E50" s="13" t="str">
        <x:v>阪急うめだ本店</x:v>
      </x:c>
      <x:c r="F50" s="13" t="str">
        <x:v>우메다</x:v>
      </x:c>
      <x:c r="G50" s="13" t="str">
        <x:v>쇼핑</x:v>
      </x:c>
      <x:c r="H50" s="13" t="str">
        <x:v>백화점</x:v>
      </x:c>
      <x:c r="I50" s="13" t="str">
        <x:v>大阪府大阪市北区角田町8-7</x:v>
      </x:c>
      <x:c r="J50" s="13" t="str">
        <x:v>일반 매장10:00~20:00</x:v>
      </x:c>
      <x:c r="K50" s="13" t="str">
        <x:v>12·13층 식당11:00~22:00; 일부 매장 예외·휴관 확인. 한신백화점과 다른 시설.</x:v>
      </x:c>
      <x:c r="L50" s="19"/>
      <x:c r="M50" s="13" t="str">
        <x:v>상품 구매액은 개인별 선택 예산. 확인되지 않은 입장료·예상 지출은 빈칸 유지.</x:v>
      </x:c>
      <x:c r="N50" s="13" t="str">
        <x:v>https://www.hankyu-dept.co.jp/honten/map/index.html</x:v>
      </x:c>
      <x:c r="O50" s="13" t="str">
        <x:v>official_web_review</x:v>
      </x:c>
      <x:c r="P50" s="21" t="d">
        <x:v>2026-10-19T00:00:00.000Z</x:v>
      </x:c>
      <x:c r="Q50" s="13" t="str">
        <x:v>실제 입구·좌표, 주요 이용 공간, 체류시간·방문일 예외 확인. 시설과 입점 매장을 같은 일정에 중복 배치하지 않도록 관계 확인.</x:v>
      </x:c>
      <x:c r="R50" s="13" t="str">
        <x:v>osaka_draft_f1ba0aa6ab58</x:v>
      </x:c>
      <x:c r="S50" s="15"/>
      <x:c r="T50" s="15"/>
      <x:c r="U50" s="23"/>
      <x:c r="V50" s="15"/>
      <x:c r="W50" s="20"/>
      <x:c r="X50" s="15"/>
      <x:c r="Y50" s="13" t="str">
        <x:v>한큐 우메다 본점 | 阪急うめだ本店 | 한큐 백화점 우메다 본점</x:v>
      </x:c>
    </x:row>
    <x:row r="51" ht="115" customHeight="1">
      <x:c r="A51" s="13" t="str">
        <x:v>branch_hankyu_mens_osaka</x:v>
      </x:c>
      <x:c r="B51" s="13" t="str">
        <x:v>신규 후보</x:v>
      </x:c>
      <x:c r="C51" s="13" t="str">
        <x:v>한큐</x:v>
      </x:c>
      <x:c r="D51" s="13" t="str">
        <x:v>한큐 맨즈 오사카</x:v>
      </x:c>
      <x:c r="E51" s="13" t="str">
        <x:v>阪急メンズ大阪</x:v>
      </x:c>
      <x:c r="F51" s="13" t="str">
        <x:v>우메다</x:v>
      </x:c>
      <x:c r="G51" s="13" t="str">
        <x:v>쇼핑</x:v>
      </x:c>
      <x:c r="H51" s="13" t="str">
        <x:v>남성 패션 백화점</x:v>
      </x:c>
      <x:c r="I51" s="13" t="str">
        <x:v>大阪府大阪市北区角田町7-10</x:v>
      </x:c>
      <x:c r="J51" s="13" t="str">
        <x:v>평일11:00~20:00 / 토·일·공휴일10:00~20:00</x:v>
      </x:c>
      <x:c r="K51" s="13" t="str">
        <x:v>한큐 우메다 본점과 주소·평일 개점시간이 다름. 휴관·개별 매장 예외 확인.</x:v>
      </x:c>
      <x:c r="L51" s="19"/>
      <x:c r="M51" s="13" t="str">
        <x:v>상품 구매액은 개인별 선택 예산. 확인되지 않은 입장료·예상 지출은 빈칸 유지.</x:v>
      </x:c>
      <x:c r="N51" s="13" t="str">
        <x:v>https://web.hh-online.jp/hankyu-mens/contents/osaka/</x:v>
      </x:c>
      <x:c r="O51" s="13" t="str">
        <x:v>official_web_review</x:v>
      </x:c>
      <x:c r="P51" s="21" t="d">
        <x:v>2026-10-19T00:00:00.000Z</x:v>
      </x:c>
      <x:c r="Q51" s="13" t="str">
        <x:v>실제 입구·좌표, 주요 이용 공간, 체류시간·방문일 예외 확인. 시설과 입점 매장을 같은 일정에 중복 배치하지 않도록 관계 확인.</x:v>
      </x:c>
      <x:c r="R51" s="13"/>
      <x:c r="S51" s="15"/>
      <x:c r="T51" s="15"/>
      <x:c r="U51" s="23"/>
      <x:c r="V51" s="15"/>
      <x:c r="W51" s="20"/>
      <x:c r="X51" s="15"/>
      <x:c r="Y51" s="13" t="str">
        <x:v>한큐 맨즈 오사카 | 阪急メンズ大阪</x:v>
      </x:c>
    </x:row>
    <x:row r="52" ht="115" customHeight="1">
      <x:c r="A52" s="13" t="str">
        <x:v>branch_pokemon_osaka</x:v>
      </x:c>
      <x:c r="B52" s="13" t="str">
        <x:v>신규 후보</x:v>
      </x:c>
      <x:c r="C52" s="13" t="str">
        <x:v>포켓몬센터</x:v>
      </x:c>
      <x:c r="D52" s="13" t="str">
        <x:v>포켓몬센터 오사카</x:v>
      </x:c>
      <x:c r="E52" s="13" t="str">
        <x:v>ポケモンセンターオーサカ</x:v>
      </x:c>
      <x:c r="F52" s="13" t="str">
        <x:v>우메다</x:v>
      </x:c>
      <x:c r="G52" s="13" t="str">
        <x:v>쇼핑</x:v>
      </x:c>
      <x:c r="H52" s="13" t="str">
        <x:v>캐릭터 굿즈</x:v>
      </x:c>
      <x:c r="I52" s="13" t="str">
        <x:v>大阪府大阪市北区梅田3-1-1 ルクア サウス13F</x:v>
      </x:c>
      <x:c r="J52" s="13" t="str">
        <x:v>월~일10:00~20:00</x:v>
      </x:c>
      <x:c r="K52" s="13" t="str">
        <x:v>현재 공식 시설명은 루쿠아 사우스. 임시휴무·혼잡일 입장 안내 확인.</x:v>
      </x:c>
      <x:c r="L52" s="19"/>
      <x:c r="M52" s="13" t="str">
        <x:v>상품 구매액은 개인별 선택 예산. 확인되지 않은 입장료·예상 지출은 빈칸 유지.</x:v>
      </x:c>
      <x:c r="N52" s="13" t="str">
        <x:v>https://shop.pokemon.co.jp/ja/shop/pokemoncenter-osaka/</x:v>
      </x:c>
      <x:c r="O52" s="13" t="str">
        <x:v>official_web_review</x:v>
      </x:c>
      <x:c r="P52" s="21" t="d">
        <x:v>2026-10-19T00:00:00.000Z</x:v>
      </x:c>
      <x:c r="Q52" s="13" t="str">
        <x:v>실제 입구·좌표, 주요 이용 공간, 체류시간·방문일 예외 확인. 시설과 입점 매장을 같은 일정에 중복 배치하지 않도록 관계 확인.</x:v>
      </x:c>
      <x:c r="R52" s="13"/>
      <x:c r="S52" s="15"/>
      <x:c r="T52" s="15"/>
      <x:c r="U52" s="23"/>
      <x:c r="V52" s="15"/>
      <x:c r="W52" s="20"/>
      <x:c r="X52" s="15"/>
      <x:c r="Y52" s="13" t="str">
        <x:v>포켓몬센터 오사카 | ポケモンセンターオーサカ | 포켓몬 센터 오사카 | Pokemon Center Osaka</x:v>
      </x:c>
    </x:row>
    <x:row r="53" ht="115" customHeight="1">
      <x:c r="A53" s="13" t="str">
        <x:v>branch_pokemon_osaka_dx</x:v>
      </x:c>
      <x:c r="B53" s="13" t="str">
        <x:v>신규 후보</x:v>
      </x:c>
      <x:c r="C53" s="13" t="str">
        <x:v>포켓몬센터</x:v>
      </x:c>
      <x:c r="D53" s="13" t="str">
        <x:v>포켓몬센터 오사카 DX</x:v>
      </x:c>
      <x:c r="E53" s="13" t="str">
        <x:v>ポケモンセンターオーサカDX</x:v>
      </x:c>
      <x:c r="F53" s="13" t="str">
        <x:v>신사이바시</x:v>
      </x:c>
      <x:c r="G53" s="13" t="str">
        <x:v>쇼핑</x:v>
      </x:c>
      <x:c r="H53" s="13" t="str">
        <x:v>캐릭터 굿즈</x:v>
      </x:c>
      <x:c r="I53" s="13" t="str">
        <x:v>大阪府大阪市中央区心斎橋筋1-7-1 大丸心斎橋店本館9F</x:v>
      </x:c>
      <x:c r="J53" s="13" t="str">
        <x:v>월~일10:00~20:00</x:v>
      </x:c>
      <x:c r="K53" s="13" t="str">
        <x:v>포켓몬 카페와 별개 매장. 카페 예약이 굿즈 매장 입장 조건은 아님. 임시휴무·혼잡일 공지 확인.</x:v>
      </x:c>
      <x:c r="L53" s="19"/>
      <x:c r="M53" s="13" t="str">
        <x:v>상품 구매액은 개인별 선택 예산. 확인되지 않은 입장료·예상 지출은 빈칸 유지.</x:v>
      </x:c>
      <x:c r="N53" s="13" t="str">
        <x:v>https://shop.pokemon.co.jp/ja/shop/pokemoncenter-osakadx/</x:v>
      </x:c>
      <x:c r="O53" s="13" t="str">
        <x:v>official_web_review</x:v>
      </x:c>
      <x:c r="P53" s="21" t="d">
        <x:v>2026-10-19T00:00:00.000Z</x:v>
      </x:c>
      <x:c r="Q53" s="13" t="str">
        <x:v>실제 입구·좌표, 주요 이용 공간, 체류시간·방문일 예외 확인. 시설과 입점 매장을 같은 일정에 중복 배치하지 않도록 관계 확인.</x:v>
      </x:c>
      <x:c r="R53" s="13"/>
      <x:c r="S53" s="15"/>
      <x:c r="T53" s="15"/>
      <x:c r="U53" s="23"/>
      <x:c r="V53" s="15"/>
      <x:c r="W53" s="20"/>
      <x:c r="X53" s="15"/>
      <x:c r="Y53" s="13" t="str">
        <x:v>포켓몬센터 오사카 DX | ポケモンセンターオーサカDX | 포켓몬 센터 오사카 디엑스 | Pokemon Center Osaka DX</x:v>
      </x:c>
    </x:row>
    <x:row r="54" ht="115" customHeight="1">
      <x:c r="A54" s="13" t="str">
        <x:v>branch_nintendo_osaka</x:v>
      </x:c>
      <x:c r="B54" s="13" t="str">
        <x:v>신규 후보</x:v>
      </x:c>
      <x:c r="C54" s="13" t="str">
        <x:v>닌텐도</x:v>
      </x:c>
      <x:c r="D54" s="13" t="str">
        <x:v>닌텐도 오사카</x:v>
      </x:c>
      <x:c r="E54" s="13" t="str">
        <x:v>Nintendo OSAKA</x:v>
      </x:c>
      <x:c r="F54" s="13" t="str">
        <x:v>우메다</x:v>
      </x:c>
      <x:c r="G54" s="13" t="str">
        <x:v>쇼핑</x:v>
      </x:c>
      <x:c r="H54" s="13" t="str">
        <x:v>게임·캐릭터 굿즈</x:v>
      </x:c>
      <x:c r="I54" s="13" t="str">
        <x:v>大阪府大阪市北区梅田3-1-1 ルクア サウス13F</x:v>
      </x:c>
      <x:c r="J54" s="13" t="str">
        <x:v>10:00~20:00</x:v>
      </x:c>
      <x:c r="K54" s="13" t="str">
        <x:v>루쿠아 사우스 영업일 기준. 토·일·공휴일 등 혼잡 예상일 번호표 입장;1인1장.</x:v>
      </x:c>
      <x:c r="L54" s="19"/>
      <x:c r="M54" s="13" t="str">
        <x:v>쇼핑 방문. 구매액은 개인 예산이며 고정 비용 미입력. 입장 조건과 물품 구매비를 분리.</x:v>
      </x:c>
      <x:c r="N54" s="13" t="str">
        <x:v>https://www.nintendo.com/jp/officialstore/index.html</x:v>
      </x:c>
      <x:c r="O54" s="13" t="str">
        <x:v>official_web_review</x:v>
      </x:c>
      <x:c r="P54" s="21" t="d">
        <x:v>2026-10-19T00:00:00.000Z</x:v>
      </x:c>
      <x:c r="Q54" s="13" t="str">
        <x:v>실제 입구·좌표, 주요 이용 공간, 체류시간·방문일 예외 확인. 시설과 입점 매장을 같은 일정에 중복 배치하지 않도록 관계 확인.</x:v>
      </x:c>
      <x:c r="R54" s="13"/>
      <x:c r="S54" s="15"/>
      <x:c r="T54" s="15"/>
      <x:c r="U54" s="23"/>
      <x:c r="V54" s="15"/>
      <x:c r="W54" s="20"/>
      <x:c r="X54" s="15"/>
      <x:c r="Y54" s="13" t="str">
        <x:v>닌텐도 오사카 | Nintendo OSAKA | 닌텐도 스토어 오사카</x:v>
      </x:c>
    </x:row>
    <x:row r="55" ht="115" customHeight="1">
      <x:c r="A55" s="13" t="str">
        <x:v>branch_jam_americamura</x:v>
      </x:c>
      <x:c r="B55" s="13" t="str">
        <x:v>신규 후보</x:v>
      </x:c>
      <x:c r="C55" s="13" t="str">
        <x:v>JAM</x:v>
      </x:c>
      <x:c r="D55" s="13" t="str">
        <x:v>JAM 아메리카무라점</x:v>
      </x:c>
      <x:c r="E55" s="13" t="str">
        <x:v>古着屋JAM VINTAGE&amp;SELECT アメリカ村店</x:v>
      </x:c>
      <x:c r="F55" s="13" t="str">
        <x:v>아메리카무라</x:v>
      </x:c>
      <x:c r="G55" s="13" t="str">
        <x:v>쇼핑</x:v>
      </x:c>
      <x:c r="H55" s="13" t="str">
        <x:v>빈티지·중고 의류</x:v>
      </x:c>
      <x:c r="I55" s="13" t="str">
        <x:v>大阪府大阪市中央区西心斎橋2-9-28 ビッグステップサウスM1</x:v>
      </x:c>
      <x:c r="J55" s="13" t="str">
        <x:v>11:00~20:00</x:v>
      </x:c>
      <x:c r="K55" s="13" t="str">
        <x:v>정기휴무 추가 확인. 현재 공식 지점명을 기준으로 기록.</x:v>
      </x:c>
      <x:c r="L55" s="19"/>
      <x:c r="M55" s="13" t="str">
        <x:v>상품 구매액은 개인별 선택 예산. 확인되지 않은 입장료·예상 지출은 빈칸 유지.</x:v>
      </x:c>
      <x:c r="N55" s="13" t="str">
        <x:v>https://jamtrading.jp/f/shop-list/shop-05</x:v>
      </x:c>
      <x:c r="O55" s="13" t="str">
        <x:v>official_web_review</x:v>
      </x:c>
      <x:c r="P55" s="21" t="d">
        <x:v>2026-10-19T00:00:00.000Z</x:v>
      </x:c>
      <x:c r="Q55" s="13" t="str">
        <x:v>실제 입구·좌표, 주요 이용 공간, 체류시간·방문일 예외 확인. 시설과 입점 매장을 같은 일정에 중복 배치하지 않도록 관계 확인.</x:v>
      </x:c>
      <x:c r="R55" s="13"/>
      <x:c r="S55" s="15"/>
      <x:c r="T55" s="15"/>
      <x:c r="U55" s="23"/>
      <x:c r="V55" s="15"/>
      <x:c r="W55" s="20"/>
      <x:c r="X55" s="15"/>
      <x:c r="Y55" s="13" t="str">
        <x:v>빈티지 JAM 아메리카무라점 | 古着屋JAM VINTAGE&amp;SELECT アメリカ村店 | 빈티지 잼 아메리카무라 | 후루기야 JAM 아메리카무라</x:v>
      </x:c>
    </x:row>
    <x:row r="56" ht="115" customHeight="1">
      <x:c r="A56" s="13" t="str">
        <x:v>branch_jam_shinsaibashi</x:v>
      </x:c>
      <x:c r="B56" s="13" t="str">
        <x:v>신규 후보</x:v>
      </x:c>
      <x:c r="C56" s="13" t="str">
        <x:v>JAM</x:v>
      </x:c>
      <x:c r="D56" s="13" t="str">
        <x:v>JAM 신사이바시점</x:v>
      </x:c>
      <x:c r="E56" s="13" t="str">
        <x:v>古着屋JAM VINTAGE&amp;SELECT 心斎橋店</x:v>
      </x:c>
      <x:c r="F56" s="13" t="str">
        <x:v>아메리카무라</x:v>
      </x:c>
      <x:c r="G56" s="13" t="str">
        <x:v>쇼핑</x:v>
      </x:c>
      <x:c r="H56" s="13" t="str">
        <x:v>빈티지·중고 의류</x:v>
      </x:c>
      <x:c r="I56" s="13" t="str">
        <x:v>大阪府大阪市中央区西心斎橋1-10-28 心斎橋Mマンション1F</x:v>
      </x:c>
      <x:c r="J56" s="13" t="str">
        <x:v>11:00~20:00</x:v>
      </x:c>
      <x:c r="K56" s="13" t="str">
        <x:v>옛 아메리카무라2호점이 신사이바시점으로 변경됨; 두 이름을 별도 장소로 생성하지 않음.</x:v>
      </x:c>
      <x:c r="L56" s="19"/>
      <x:c r="M56" s="13" t="str">
        <x:v>상품 구매액은 개인별 선택 예산. 확인되지 않은 입장료·예상 지출은 빈칸 유지.</x:v>
      </x:c>
      <x:c r="N56" s="13" t="str">
        <x:v>https://jamtrading.jp/f/shop-list/shop-11
https://jamtrading.jp/company_site/about.html</x:v>
      </x:c>
      <x:c r="O56" s="13" t="str">
        <x:v>official_web_review</x:v>
      </x:c>
      <x:c r="P56" s="21" t="d">
        <x:v>2026-10-19T00:00:00.000Z</x:v>
      </x:c>
      <x:c r="Q56" s="13" t="str">
        <x:v>실제 입구·좌표, 주요 이용 공간, 체류시간·방문일 예외 확인. 시설과 입점 매장을 같은 일정에 중복 배치하지 않도록 관계 확인.</x:v>
      </x:c>
      <x:c r="R56" s="13"/>
      <x:c r="S56" s="15"/>
      <x:c r="T56" s="15"/>
      <x:c r="U56" s="23"/>
      <x:c r="V56" s="15"/>
      <x:c r="W56" s="20"/>
      <x:c r="X56" s="15"/>
      <x:c r="Y56" s="13" t="str">
        <x:v>빈티지 JAM 신사이바시점 | 古着屋JAM VINTAGE&amp;SELECT 心斎橋店 | JAM 아메리카무라 2호점 | 古着屋JAM アメリカ村2号店</x:v>
      </x:c>
    </x:row>
    <x:row r="57" ht="115" customHeight="1">
      <x:c r="A57" s="13" t="str">
        <x:v>branch_girlsmignon_shinsaibashi</x:v>
      </x:c>
      <x:c r="B57" s="13" t="str">
        <x:v>신규 후보</x:v>
      </x:c>
      <x:c r="C57" s="13" t="str">
        <x:v>girls mignon</x:v>
      </x:c>
      <x:c r="D57" s="13" t="str">
        <x:v>걸즈 미뇽 신사이바시 GATE점</x:v>
      </x:c>
      <x:c r="E57" s="13" t="str">
        <x:v>girls mignon 心斎橋GATE店</x:v>
      </x:c>
      <x:c r="F57" s="13" t="str">
        <x:v>난바·도톤보리</x:v>
      </x:c>
      <x:c r="G57" s="13" t="str">
        <x:v>체험·오락</x:v>
      </x:c>
      <x:c r="H57" s="13" t="str">
        <x:v>프리쿠라 사진 촬영</x:v>
      </x:c>
      <x:c r="I57" s="13" t="str">
        <x:v>大阪府大阪市中央区心斎橋筋2-5-5 Shinsaibashi GATE7F</x:v>
      </x:c>
      <x:c r="J57" s="13" t="str">
        <x:v>10:00~23:00</x:v>
      </x:c>
      <x:c r="K57" s="13" t="str">
        <x:v>현재 운영 목록에 있는7층 매장. 과거5층 GATE2 개점 기사와 혼동하지 않음.</x:v>
      </x:c>
      <x:c r="L57" s="19"/>
      <x:c r="M57" s="13" t="str">
        <x:v>기종별 촬영 요금·인원·재촬영 조건 미확인.</x:v>
      </x:c>
      <x:c r="N57" s="13" t="str">
        <x:v>https://www.puri.furyu.jp/mignon/gm/</x:v>
      </x:c>
      <x:c r="O57" s="13" t="str">
        <x:v>official_web_review</x:v>
      </x:c>
      <x:c r="P57" s="21" t="d">
        <x:v>2026-10-19T00:00:00.000Z</x:v>
      </x:c>
      <x:c r="Q57" s="13" t="str">
        <x:v>기종별 가격·입장 대상·성별 동반 제한·연령별 이용시간·실제 입구를 확인. 미확인 상태를 전연령 무조건 이용 가능으로 처리하지 않음.</x:v>
      </x:c>
      <x:c r="R57" s="13"/>
      <x:c r="S57" s="15"/>
      <x:c r="T57" s="15"/>
      <x:c r="U57" s="23"/>
      <x:c r="V57" s="15"/>
      <x:c r="W57" s="20"/>
      <x:c r="X57" s="15"/>
      <x:c r="Y57" s="13" t="str">
        <x:v>걸즈 미뇽 신사이바시 GATE점 | girls mignon 心斎橋GATE店</x:v>
      </x:c>
    </x:row>
    <x:row r="58" ht="115" customHeight="1">
      <x:c r="A58" s="13" t="str">
        <x:v>branch_petitmignon_daimaru</x:v>
      </x:c>
      <x:c r="B58" s="13" t="str">
        <x:v>신규 후보</x:v>
      </x:c>
      <x:c r="C58" s="13" t="str">
        <x:v>petit mignon</x:v>
      </x:c>
      <x:c r="D58" s="13" t="str">
        <x:v>프티 미뇽 다이마루 신사이바시점</x:v>
      </x:c>
      <x:c r="E58" s="13" t="str">
        <x:v>petit mignon 大丸心斎橋店</x:v>
      </x:c>
      <x:c r="F58" s="13" t="str">
        <x:v>신사이바시</x:v>
      </x:c>
      <x:c r="G58" s="13" t="str">
        <x:v>체험·오락</x:v>
      </x:c>
      <x:c r="H58" s="13" t="str">
        <x:v>프리쿠라 사진 촬영</x:v>
      </x:c>
      <x:c r="I58" s="13" t="str">
        <x:v>大阪府大阪市中央区心斎橋筋1-7-1 大丸心斎橋店南館5F</x:v>
      </x:c>
      <x:c r="J58" s="13" t="str">
        <x:v>10:00~20:00</x:v>
      </x:c>
      <x:c r="K58" s="13" t="str">
        <x:v>시설 휴관일 확인. 같은 건물 백화점·몽벨과 방문 목적 구분.</x:v>
      </x:c>
      <x:c r="L58" s="19"/>
      <x:c r="M58" s="13" t="str">
        <x:v>기종별 촬영 요금·인원·재촬영 조건 미확인.</x:v>
      </x:c>
      <x:c r="N58" s="13" t="str">
        <x:v>https://www.puri.furyu.jp/mignon/gm/
https://www.daimaru.co.jp/shinsaibashi/hours.html</x:v>
      </x:c>
      <x:c r="O58" s="13" t="str">
        <x:v>official_web_review</x:v>
      </x:c>
      <x:c r="P58" s="21" t="d">
        <x:v>2026-10-19T00:00:00.000Z</x:v>
      </x:c>
      <x:c r="Q58" s="13" t="str">
        <x:v>입장 대상·성별 동반 제한·연령별 이용시간·기종별 요금·실제 입구를 확인. 시설과 촬영 장소를 별도 이동으로 중복 계산하지 않음.</x:v>
      </x:c>
      <x:c r="R58" s="13"/>
      <x:c r="S58" s="15"/>
      <x:c r="T58" s="15"/>
      <x:c r="U58" s="23"/>
      <x:c r="V58" s="15"/>
      <x:c r="W58" s="20"/>
      <x:c r="X58" s="15"/>
      <x:c r="Y58" s="13" t="str">
        <x:v>프티 미뇽 다이마루 신사이바시점 | petit mignon 大丸心斎橋店</x:v>
      </x:c>
    </x:row>
    <x:row r="59" ht="115" customHeight="1">
      <x:c r="A59" s="13" t="str">
        <x:v>branch_551_honten</x:v>
      </x:c>
      <x:c r="B59" s="13" t="str">
        <x:v>신규 후보</x:v>
      </x:c>
      <x:c r="C59" s="13" t="str">
        <x:v>551 호라이</x:v>
      </x:c>
      <x:c r="D59" s="13" t="str">
        <x:v>551 호라이 본점</x:v>
      </x:c>
      <x:c r="E59" s="13" t="str">
        <x:v>551HORAI 本店</x:v>
      </x:c>
      <x:c r="F59" s="13" t="str">
        <x:v>난바·도톤보리</x:v>
      </x:c>
      <x:c r="G59" s="13" t="str">
        <x:v>식사</x:v>
      </x:c>
      <x:c r="H59" s="13" t="str">
        <x:v>중화요리·부타만</x:v>
      </x:c>
      <x:c r="I59" s="13" t="str">
        <x:v>大阪府大阪市中央区難波3-6-3</x:v>
      </x:c>
      <x:c r="J59" s="13" t="str">
        <x:v>식당11:00부터 / 주문 마감21:30</x:v>
      </x:c>
      <x:c r="K59" s="13" t="str">
        <x:v>판매점10:00~21:30. 첫째·셋째 화요일 정기휴무;12월 등 예외 공지 확인. 식당 폐점시간은 추가 확인.</x:v>
      </x:c>
      <x:c r="L59" s="19"/>
      <x:c r="M59" s="13" t="str">
        <x:v>본점 식당 메뉴 기준으로 수집.2026-09-01 메뉴 PDF 링크 존재; 금액 미확인. 포장 부타만 가격을 한 끼 가격으로 대체하지 않음.</x:v>
      </x:c>
      <x:c r="N59" s="13" t="str">
        <x:v>https://www.551horai.co.jp/shop/list/13/</x:v>
      </x:c>
      <x:c r="O59" s="13" t="str">
        <x:v>official_web_review</x:v>
      </x:c>
      <x:c r="P59" s="21" t="d">
        <x:v>2026-10-19T00:00:00.000Z</x:v>
      </x:c>
      <x:c r="Q59" s="13" t="str">
        <x:v>본점 식당과1층 판매점의 이용 범위 구분. 식당 종료시간·기준 메뉴 추가 확인. 실제 입구·좌표, 좌석·이용 공간, 대기·체류시간, 방문일 예외 및 기준 메뉴 가격 확인.</x:v>
      </x:c>
      <x:c r="R59" s="13"/>
      <x:c r="S59" s="15"/>
      <x:c r="T59" s="15"/>
      <x:c r="U59" s="23"/>
      <x:c r="V59" s="15"/>
      <x:c r="W59" s="20"/>
      <x:c r="X59" s="15"/>
      <x:c r="Y59" s="13" t="str">
        <x:v>551 호라이 본점 | 551HORAI 本店</x:v>
      </x:c>
    </x:row>
    <x:row r="60" ht="115" customHeight="1">
      <x:c r="A60" s="13" t="str">
        <x:v>branch_551_namba_walk</x:v>
      </x:c>
      <x:c r="B60" s="13" t="str">
        <x:v>신규 후보</x:v>
      </x:c>
      <x:c r="C60" s="13" t="str">
        <x:v>551 호라이</x:v>
      </x:c>
      <x:c r="D60" s="13" t="str">
        <x:v>551 호라이 난바워크점</x:v>
      </x:c>
      <x:c r="E60" s="13" t="str">
        <x:v>551HORAI なんばウォーク店</x:v>
      </x:c>
      <x:c r="F60" s="13" t="str">
        <x:v>난바·도톤보리</x:v>
      </x:c>
      <x:c r="G60" s="13" t="str">
        <x:v>식사</x:v>
      </x:c>
      <x:c r="H60" s="13" t="str">
        <x:v>중화요리·부타만</x:v>
      </x:c>
      <x:c r="I60" s="13" t="str">
        <x:v>大阪府大阪市中央区難波2 なんばウォーク1番街北通り-4</x:v>
      </x:c>
      <x:c r="J60" s="13" t="str">
        <x:v>식당11:00~22:00 / 주문 마감21:30</x:v>
      </x:c>
      <x:c r="K60" s="13" t="str">
        <x:v>포장10:00~21:30. 홀수 달 셋째 수요일 휴무(난바워크 기준).</x:v>
      </x:c>
      <x:c r="L60" s="19"/>
      <x:c r="M60" s="13" t="str">
        <x:v>식당 메뉴를 기준으로 선택.2026-09-01 메뉴 PDF 링크 존재; 금액 미확인. 공식몰의 포장 종료22시 안내와 달라 브랜드 최신21:30 우선, 재확인 필요.</x:v>
      </x:c>
      <x:c r="N60" s="13" t="str">
        <x:v>https://www.551horai.co.jp/shop/list/20/</x:v>
      </x:c>
      <x:c r="O60" s="13" t="str">
        <x:v>official_web_review</x:v>
      </x:c>
      <x:c r="P60" s="21" t="d">
        <x:v>2026-10-19T00:00:00.000Z</x:v>
      </x:c>
      <x:c r="Q60" s="13" t="str">
        <x:v>실제 입구·좌표, 좌석·이용 공간, 대기·체류시간, 방문일 예외 및 기준 메뉴 가격 확인.</x:v>
      </x:c>
      <x:c r="R60" s="13"/>
      <x:c r="S60" s="15"/>
      <x:c r="T60" s="15"/>
      <x:c r="U60" s="23"/>
      <x:c r="V60" s="15"/>
      <x:c r="W60" s="20"/>
      <x:c r="X60" s="15"/>
      <x:c r="Y60" s="13" t="str">
        <x:v>551 호라이 난바워크점 | 551HORAI なんばウォーク店</x:v>
      </x:c>
    </x:row>
    <x:row r="61" ht="115" customHeight="1">
      <x:c r="A61" s="13" t="str">
        <x:v>branch_551_takashimaya_osaka</x:v>
      </x:c>
      <x:c r="B61" s="13" t="str">
        <x:v>신규 후보</x:v>
      </x:c>
      <x:c r="C61" s="13" t="str">
        <x:v>551 호라이</x:v>
      </x:c>
      <x:c r="D61" s="13" t="str">
        <x:v>551 호라이 오사카 다카시마야점</x:v>
      </x:c>
      <x:c r="E61" s="13" t="str">
        <x:v>551HORAI 大阪高島屋店</x:v>
      </x:c>
      <x:c r="F61" s="13" t="str">
        <x:v>난바·도톤보리</x:v>
      </x:c>
      <x:c r="G61" s="13" t="str">
        <x:v>식사</x:v>
      </x:c>
      <x:c r="H61" s="13" t="str">
        <x:v>부타만·중화식품</x:v>
      </x:c>
      <x:c r="I61" s="13" t="str">
        <x:v>大阪府大阪市中央区難波5-1-5 大阪高島屋B1F</x:v>
      </x:c>
      <x:c r="J61" s="13" t="str">
        <x:v>10:00~20:00</x:v>
      </x:c>
      <x:c r="K61" s="13" t="str">
        <x:v>백화점 일정에 따라 부정기 휴무. 과거8/19 휴점은 반복 휴일로 미적용.</x:v>
      </x:c>
      <x:c r="L61" s="19"/>
      <x:c r="M61" s="13" t="str">
        <x:v>포장 상품 구매 목적. 단위 수량별 상품 가격·세금 미확인.</x:v>
      </x:c>
      <x:c r="N61" s="13" t="str">
        <x:v>https://www.551horai.co.jp/shop/list/18/</x:v>
      </x:c>
      <x:c r="O61" s="13" t="str">
        <x:v>official_web_review</x:v>
      </x:c>
      <x:c r="P61" s="21" t="d">
        <x:v>2026-10-19T00:00:00.000Z</x:v>
      </x:c>
      <x:c r="Q61" s="13" t="str">
        <x:v>포장 구매 후보로만 수집. 좌석·식사 가능 여부 미확인이라 착석 한 끼 장소로 사용하지 않음. 입구·좌표·포장 대기시간 확인.</x:v>
      </x:c>
      <x:c r="R61" s="13"/>
      <x:c r="S61" s="15"/>
      <x:c r="T61" s="15"/>
      <x:c r="U61" s="23"/>
      <x:c r="V61" s="15"/>
      <x:c r="W61" s="20"/>
      <x:c r="X61" s="15"/>
      <x:c r="Y61" s="13" t="str">
        <x:v>551 호라이 오사카 다카시마야점 | 551HORAI 大阪高島屋店</x:v>
      </x:c>
    </x:row>
    <x:row r="62" ht="115" customHeight="1">
      <x:c r="A62" s="13" t="str">
        <x:v>branch_daruma_dotonbori</x:v>
      </x:c>
      <x:c r="B62" s="13" t="str">
        <x:v>신규 후보</x:v>
      </x:c>
      <x:c r="C62" s="13" t="str">
        <x:v>쿠시카츠 다루마</x:v>
      </x:c>
      <x:c r="D62" s="13" t="str">
        <x:v>쿠시카츠 다루마 도톤보리점</x:v>
      </x:c>
      <x:c r="E62" s="13" t="str">
        <x:v>串かつだるま 道頓堀店</x:v>
      </x:c>
      <x:c r="F62" s="13" t="str">
        <x:v>난바·도톤보리</x:v>
      </x:c>
      <x:c r="G62" s="13" t="str">
        <x:v>식사</x:v>
      </x:c>
      <x:c r="H62" s="13" t="str">
        <x:v>쿠시카츠</x:v>
      </x:c>
      <x:c r="I62" s="13" t="str">
        <x:v>大阪府大阪市中央区道頓堀1-6-8</x:v>
      </x:c>
      <x:c r="J62" s="13" t="str">
        <x:v>평일11:00~22:30 / 토·일·공휴일10:30~22:30</x:v>
      </x:c>
      <x:c r="K62" s="13" t="str">
        <x:v>주문 마감22:00; 연중무휴 안내. 예약은 평일18시까지2명부터 전화로 접수.</x:v>
      </x:c>
      <x:c r="L62" s="19"/>
      <x:c r="M62" s="13" t="str">
        <x:v>기준 메뉴와 세금·수량·지점별 가격을 추가 확인. 미확인 가격은 빈칸 유지.</x:v>
      </x:c>
      <x:c r="N62" s="13" t="str">
        <x:v>https://www.kushikatu-daruma.com/location/doutonbori</x:v>
      </x:c>
      <x:c r="O62" s="13" t="str">
        <x:v>official_web_review</x:v>
      </x:c>
      <x:c r="P62" s="21" t="d">
        <x:v>2026-10-19T00:00:00.000Z</x:v>
      </x:c>
      <x:c r="Q62" s="13" t="str">
        <x:v>실제 입구·좌표, 좌석·이용 공간, 대기·체류시간, 방문일 예외 및 기준 메뉴 가격 확인.</x:v>
      </x:c>
      <x:c r="R62" s="13"/>
      <x:c r="S62" s="15"/>
      <x:c r="T62" s="15"/>
      <x:c r="U62" s="23"/>
      <x:c r="V62" s="15"/>
      <x:c r="W62" s="20"/>
      <x:c r="X62" s="15"/>
      <x:c r="Y62" s="13" t="str">
        <x:v>쿠시카츠 다루마 도톤보리점 | 串かつだるま 道頓堀店 | 쿠시카쓰 다루마 도톤보리 | 구시카츠 다루마 도톤보리</x:v>
      </x:c>
    </x:row>
    <x:row r="63" ht="115" customHeight="1">
      <x:c r="A63" s="13" t="str">
        <x:v>branch_daruma_shinsekai</x:v>
      </x:c>
      <x:c r="B63" s="13" t="str">
        <x:v>신규 후보</x:v>
      </x:c>
      <x:c r="C63" s="13" t="str">
        <x:v>쿠시카츠 다루마</x:v>
      </x:c>
      <x:c r="D63" s="13" t="str">
        <x:v>쿠시카츠 다루마 신세카이 총본점</x:v>
      </x:c>
      <x:c r="E63" s="13" t="str">
        <x:v>串かつだるま 新世界総本店</x:v>
      </x:c>
      <x:c r="F63" s="13" t="str">
        <x:v>신세카이</x:v>
      </x:c>
      <x:c r="G63" s="13" t="str">
        <x:v>식사</x:v>
      </x:c>
      <x:c r="H63" s="13" t="str">
        <x:v>쿠시카츠</x:v>
      </x:c>
      <x:c r="I63" s="13" t="str">
        <x:v>大阪府大阪市浪速区恵美須東2-3-9</x:v>
      </x:c>
      <x:c r="J63" s="13" t="str">
        <x:v>평일11:00~22:30 / 토·일·공휴일10:30~22:30</x:v>
      </x:c>
      <x:c r="K63" s="13" t="str">
        <x:v>주문 마감22:00; 연중무휴 안내. 총본점 예약 불가; 인근 지점 예약 정보와 혼동하지 않음.</x:v>
      </x:c>
      <x:c r="L63" s="19"/>
      <x:c r="M63" s="13" t="str">
        <x:v>기준 메뉴와 세금·수량·지점별 가격을 추가 확인. 미확인 가격은 빈칸 유지.</x:v>
      </x:c>
      <x:c r="N63" s="13" t="str">
        <x:v>https://www.kushikatu-daruma.com/location/shinsekai</x:v>
      </x:c>
      <x:c r="O63" s="13" t="str">
        <x:v>official_web_review</x:v>
      </x:c>
      <x:c r="P63" s="21" t="d">
        <x:v>2026-10-19T00:00:00.000Z</x:v>
      </x:c>
      <x:c r="Q63" s="13" t="str">
        <x:v>실제 입구·좌표, 좌석·이용 공간, 대기·체류시간, 방문일 예외 및 기준 메뉴 가격 확인.</x:v>
      </x:c>
      <x:c r="R63" s="13"/>
      <x:c r="S63" s="15"/>
      <x:c r="T63" s="15"/>
      <x:c r="U63" s="23"/>
      <x:c r="V63" s="15"/>
      <x:c r="W63" s="20"/>
      <x:c r="X63" s="15"/>
      <x:c r="Y63" s="13" t="str">
        <x:v>쿠시카츠 다루마 신세카이 총본점 | 串かつだるま 新世界総本店 | 쿠시카쓰 다루마 신세카이 본점</x:v>
      </x:c>
    </x:row>
    <x:row r="64" ht="115" customHeight="1">
      <x:c r="A64" s="13" t="str">
        <x:v>branch_fukutaro_honten</x:v>
      </x:c>
      <x:c r="B64" s="13" t="str">
        <x:v>신규 후보</x:v>
      </x:c>
      <x:c r="C64" s="13" t="str">
        <x:v>후쿠타로</x:v>
      </x:c>
      <x:c r="D64" s="13" t="str">
        <x:v>후쿠타로 본점</x:v>
      </x:c>
      <x:c r="E64" s="13" t="str">
        <x:v>福太郎 本店</x:v>
      </x:c>
      <x:c r="F64" s="13" t="str">
        <x:v>난바·도톤보리</x:v>
      </x:c>
      <x:c r="G64" s="13" t="str">
        <x:v>식사</x:v>
      </x:c>
      <x:c r="H64" s="13" t="str">
        <x:v>오코노미야키·네기야키</x:v>
      </x:c>
      <x:c r="I64" s="13" t="str">
        <x:v>大阪府大阪市中央区千日前2-3-17</x:v>
      </x:c>
      <x:c r="J64" s="13" t="str">
        <x:v>평일17:00~23:30 / 토·일·공휴일12:00~23:30</x:v>
      </x:c>
      <x:c r="K64" s="13" t="str">
        <x:v>주문 마감22:45. 정월 기간 외 연중무휴 안내; 현재 예약 불가.</x:v>
      </x:c>
      <x:c r="L64" s="19" t="n">
        <x:v>1080</x:v>
      </x:c>
      <x:c r="M64" s="13" t="str">
        <x:v>본점 부타타마(豚玉)1개, 세금 포함1,080엔. 공식 메뉴는 본점용이며 지점 가격과 다를 수 있음. 음료·추가메뉴 별도.</x:v>
      </x:c>
      <x:c r="N64" s="13" t="str">
        <x:v>https://2951.jp/
https://2951.jp/menu.html</x:v>
      </x:c>
      <x:c r="O64" s="13" t="str">
        <x:v>official_web_review</x:v>
      </x:c>
      <x:c r="P64" s="21" t="d">
        <x:v>2026-10-19T00:00:00.000Z</x:v>
      </x:c>
      <x:c r="Q64" s="13" t="str">
        <x:v>실제 입구·좌표, 좌석·이용 공간, 대기·체류시간, 방문일 예외 및 기준 메뉴 가격 확인.</x:v>
      </x:c>
      <x:c r="R64" s="13"/>
      <x:c r="S64" s="15"/>
      <x:c r="T64" s="15"/>
      <x:c r="U64" s="23"/>
      <x:c r="V64" s="15"/>
      <x:c r="W64" s="20"/>
      <x:c r="X64" s="15"/>
      <x:c r="Y64" s="13" t="str">
        <x:v>후쿠타로 본점 | 福太郎 本店</x:v>
      </x:c>
    </x:row>
    <x:row r="65" ht="115" customHeight="1">
      <x:c r="A65" s="13" t="str">
        <x:v>branch_fukutaro_umeda</x:v>
      </x:c>
      <x:c r="B65" s="13" t="str">
        <x:v>신규 후보</x:v>
      </x:c>
      <x:c r="C65" s="13" t="str">
        <x:v>후쿠타로</x:v>
      </x:c>
      <x:c r="D65" s="13" t="str">
        <x:v>후쿠타로 우메다점</x:v>
      </x:c>
      <x:c r="E65" s="13" t="str">
        <x:v>福太郎 梅田店</x:v>
      </x:c>
      <x:c r="F65" s="13" t="str">
        <x:v>우메다</x:v>
      </x:c>
      <x:c r="G65" s="13" t="str">
        <x:v>식사</x:v>
      </x:c>
      <x:c r="H65" s="13" t="str">
        <x:v>오코노미야키·네기야키</x:v>
      </x:c>
      <x:c r="I65" s="13" t="str">
        <x:v>大阪府大阪市北区大深町4-20 グランフロント大阪南館7F</x:v>
      </x:c>
      <x:c r="J65" s="13" t="str">
        <x:v>11:00~23:00</x:v>
      </x:c>
      <x:c r="K65" s="13" t="str">
        <x:v>주문 마감22:00. 상황에 따라15:00~17:00 휴식; 연말연시 예외; 현재 예약 불가.</x:v>
      </x:c>
      <x:c r="L65" s="19"/>
      <x:c r="M65" s="13" t="str">
        <x:v>본점 메뉴 가격을 복사하지 않음. 우메다점 기준 메뉴·세금·수량 확인 필요.</x:v>
      </x:c>
      <x:c r="N65" s="13" t="str">
        <x:v>https://2951.jp/</x:v>
      </x:c>
      <x:c r="O65" s="13" t="str">
        <x:v>official_web_review</x:v>
      </x:c>
      <x:c r="P65" s="21" t="d">
        <x:v>2026-10-19T00:00:00.000Z</x:v>
      </x:c>
      <x:c r="Q65" s="13" t="str">
        <x:v>실제 입구·좌표, 좌석·이용 공간, 대기·체류시간, 방문일 예외 및 기준 메뉴 가격 확인.</x:v>
      </x:c>
      <x:c r="R65" s="13"/>
      <x:c r="S65" s="15"/>
      <x:c r="T65" s="15"/>
      <x:c r="U65" s="23"/>
      <x:c r="V65" s="15"/>
      <x:c r="W65" s="20"/>
      <x:c r="X65" s="15"/>
      <x:c r="Y65" s="13" t="str">
        <x:v>후쿠타로 우메다점 | 福太郎 梅田店</x:v>
      </x:c>
    </x:row>
    <x:row r="66" ht="115" customHeight="1">
      <x:c r="A66" s="13" t="str">
        <x:v>branch_wanaka_sennichimae</x:v>
      </x:c>
      <x:c r="B66" s="13" t="str">
        <x:v>신규 후보</x:v>
      </x:c>
      <x:c r="C66" s="13" t="str">
        <x:v>와나카</x:v>
      </x:c>
      <x:c r="D66" s="13" t="str">
        <x:v>와나카 센니치마에 본점</x:v>
      </x:c>
      <x:c r="E66" s="13" t="str">
        <x:v>たこ焼道楽わなか 千日前本店</x:v>
      </x:c>
      <x:c r="F66" s="13" t="str">
        <x:v>난바·도톤보리</x:v>
      </x:c>
      <x:c r="G66" s="13" t="str">
        <x:v>식사</x:v>
      </x:c>
      <x:c r="H66" s="13" t="str">
        <x:v>타코야키</x:v>
      </x:c>
      <x:c r="I66" s="13" t="str">
        <x:v>大阪府大阪市中央区難波千日前11-19</x:v>
      </x:c>
      <x:c r="J66" s="13" t="str">
        <x:v>월~금10:30~21:00 / 토·일·공휴일09:30~21:00</x:v>
      </x:c>
      <x:c r="K66" s="13" t="str">
        <x:v>정기휴무·주문 마감 별도 확인. 한정 행사·옛 연말연시 시간을 상시 규칙에 적용하지 않음.</x:v>
      </x:c>
      <x:c r="L66" s="19"/>
      <x:c r="M66" s="13" t="str">
        <x:v>기준 메뉴와 세금·수량·지점별 가격을 추가 확인. 미확인 가격은 빈칸 유지.</x:v>
      </x:c>
      <x:c r="N66" s="13" t="str">
        <x:v>https://takoyaki-wanaka.com/tenpo-sennichimae.html</x:v>
      </x:c>
      <x:c r="O66" s="13" t="str">
        <x:v>official_web_review</x:v>
      </x:c>
      <x:c r="P66" s="21" t="d">
        <x:v>2026-10-19T00:00:00.000Z</x:v>
      </x:c>
      <x:c r="Q66" s="13" t="str">
        <x:v>간식 방문 목적. 좌석·1인 식사량이 확인되기 전 끼니 충족 장소로 자동 간주하지 않음. 실제 입구·좌표, 좌석·이용 공간, 대기·체류시간, 방문일 예외 및 기준 메뉴 가격 확인.</x:v>
      </x:c>
      <x:c r="R66" s="13"/>
      <x:c r="S66" s="15"/>
      <x:c r="T66" s="15"/>
      <x:c r="U66" s="23"/>
      <x:c r="V66" s="15"/>
      <x:c r="W66" s="20"/>
      <x:c r="X66" s="15"/>
      <x:c r="Y66" s="13" t="str">
        <x:v>와나카 센니치마에 본점 | たこ焼道楽わなか 千日前本店</x:v>
      </x:c>
    </x:row>
    <x:row r="67" ht="115" customHeight="1">
      <x:c r="A67" s="13" t="str">
        <x:v>branch_wanaka_dotonbori</x:v>
      </x:c>
      <x:c r="B67" s="13" t="str">
        <x:v>신규 후보</x:v>
      </x:c>
      <x:c r="C67" s="13" t="str">
        <x:v>와나카</x:v>
      </x:c>
      <x:c r="D67" s="13" t="str">
        <x:v>와나카 도톤보리점</x:v>
      </x:c>
      <x:c r="E67" s="13" t="str">
        <x:v>たこ焼道楽わなか 道頓堀店</x:v>
      </x:c>
      <x:c r="F67" s="13" t="str">
        <x:v>난바·도톤보리</x:v>
      </x:c>
      <x:c r="G67" s="13" t="str">
        <x:v>식사</x:v>
      </x:c>
      <x:c r="H67" s="13" t="str">
        <x:v>타코야키</x:v>
      </x:c>
      <x:c r="I67" s="13" t="str">
        <x:v>大阪府大阪市中央区道頓堀1-6-7</x:v>
      </x:c>
      <x:c r="J67" s="13" t="str">
        <x:v>10:30~21:00</x:v>
      </x:c>
      <x:c r="K67" s="13" t="str">
        <x:v>정기휴무·주문 마감 별도 확인. 센니치마에점의 주말 개점시간과 다름.</x:v>
      </x:c>
      <x:c r="L67" s="19"/>
      <x:c r="M67" s="13" t="str">
        <x:v>기준 메뉴와 세금·수량·지점별 가격을 추가 확인. 미확인 가격은 빈칸 유지.</x:v>
      </x:c>
      <x:c r="N67" s="13" t="str">
        <x:v>https://www.takoyaki-wanaka.com/tenpo-dotonbori.html?250514</x:v>
      </x:c>
      <x:c r="O67" s="13" t="str">
        <x:v>official_web_review</x:v>
      </x:c>
      <x:c r="P67" s="21" t="d">
        <x:v>2026-10-19T00:00:00.000Z</x:v>
      </x:c>
      <x:c r="Q67" s="13" t="str">
        <x:v>간식 방문 목적. 좌석·1인 식사량이 확인되기 전 끼니 충족 장소로 자동 간주하지 않음. 실제 입구·좌표, 좌석·이용 공간, 대기·체류시간, 방문일 예외 및 기준 메뉴 가격 확인.</x:v>
      </x:c>
      <x:c r="R67" s="13"/>
      <x:c r="S67" s="15"/>
      <x:c r="T67" s="15"/>
      <x:c r="U67" s="23"/>
      <x:c r="V67" s="15"/>
      <x:c r="W67" s="20"/>
      <x:c r="X67" s="15"/>
      <x:c r="Y67" s="13" t="str">
        <x:v>와나카 도톤보리점 | たこ焼道楽わなか 道頓堀店</x:v>
      </x:c>
    </x:row>
    <x:row r="68" ht="56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20"/>
      <x:c r="M68" s="15"/>
      <x:c r="N68" s="15"/>
      <x:c r="O68" s="15"/>
      <x:c r="P68" s="22"/>
      <x:c r="Q68" s="15"/>
      <x:c r="R68" s="15"/>
      <x:c r="S68" s="15"/>
      <x:c r="T68" s="15"/>
      <x:c r="U68" s="23"/>
      <x:c r="V68" s="15"/>
      <x:c r="W68" s="20"/>
      <x:c r="X68" s="15"/>
      <x:c r="Y68" s="15"/>
    </x:row>
    <x:row r="69" ht="56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20"/>
      <x:c r="M69" s="15"/>
      <x:c r="N69" s="15"/>
      <x:c r="O69" s="15"/>
      <x:c r="P69" s="22"/>
      <x:c r="Q69" s="15"/>
      <x:c r="R69" s="15"/>
      <x:c r="S69" s="15"/>
      <x:c r="T69" s="15"/>
      <x:c r="U69" s="23"/>
      <x:c r="V69" s="15"/>
      <x:c r="W69" s="20"/>
      <x:c r="X69" s="15"/>
      <x:c r="Y69" s="15"/>
    </x:row>
    <x:row r="70" ht="56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20"/>
      <x:c r="M70" s="15"/>
      <x:c r="N70" s="15"/>
      <x:c r="O70" s="15"/>
      <x:c r="P70" s="22"/>
      <x:c r="Q70" s="15"/>
      <x:c r="R70" s="15"/>
      <x:c r="S70" s="15"/>
      <x:c r="T70" s="15"/>
      <x:c r="U70" s="23"/>
      <x:c r="V70" s="15"/>
      <x:c r="W70" s="20"/>
      <x:c r="X70" s="15"/>
      <x:c r="Y70" s="15"/>
    </x:row>
    <x:row r="71" ht="56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20"/>
      <x:c r="M71" s="15"/>
      <x:c r="N71" s="15"/>
      <x:c r="O71" s="15"/>
      <x:c r="P71" s="22"/>
      <x:c r="Q71" s="15"/>
      <x:c r="R71" s="15"/>
      <x:c r="S71" s="15"/>
      <x:c r="T71" s="15"/>
      <x:c r="U71" s="23"/>
      <x:c r="V71" s="15"/>
      <x:c r="W71" s="20"/>
      <x:c r="X71" s="15"/>
      <x:c r="Y71" s="15"/>
    </x:row>
    <x:row r="72" ht="56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20"/>
      <x:c r="M72" s="15"/>
      <x:c r="N72" s="15"/>
      <x:c r="O72" s="15"/>
      <x:c r="P72" s="22"/>
      <x:c r="Q72" s="15"/>
      <x:c r="R72" s="15"/>
      <x:c r="S72" s="15"/>
      <x:c r="T72" s="15"/>
      <x:c r="U72" s="23"/>
      <x:c r="V72" s="15"/>
      <x:c r="W72" s="20"/>
      <x:c r="X72" s="15"/>
      <x:c r="Y72" s="15"/>
    </x:row>
    <x:row r="73" ht="56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20"/>
      <x:c r="M73" s="15"/>
      <x:c r="N73" s="15"/>
      <x:c r="O73" s="15"/>
      <x:c r="P73" s="22"/>
      <x:c r="Q73" s="15"/>
      <x:c r="R73" s="15"/>
      <x:c r="S73" s="15"/>
      <x:c r="T73" s="15"/>
      <x:c r="U73" s="23"/>
      <x:c r="V73" s="15"/>
      <x:c r="W73" s="20"/>
      <x:c r="X73" s="15"/>
      <x:c r="Y73" s="15"/>
    </x:row>
    <x:row r="74" ht="56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20"/>
      <x:c r="M74" s="15"/>
      <x:c r="N74" s="15"/>
      <x:c r="O74" s="15"/>
      <x:c r="P74" s="22"/>
      <x:c r="Q74" s="15"/>
      <x:c r="R74" s="15"/>
      <x:c r="S74" s="15"/>
      <x:c r="T74" s="15"/>
      <x:c r="U74" s="23"/>
      <x:c r="V74" s="15"/>
      <x:c r="W74" s="20"/>
      <x:c r="X74" s="15"/>
      <x:c r="Y74" s="15"/>
    </x:row>
    <x:row r="75" ht="56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20"/>
      <x:c r="M75" s="15"/>
      <x:c r="N75" s="15"/>
      <x:c r="O75" s="15"/>
      <x:c r="P75" s="22"/>
      <x:c r="Q75" s="15"/>
      <x:c r="R75" s="15"/>
      <x:c r="S75" s="15"/>
      <x:c r="T75" s="15"/>
      <x:c r="U75" s="23"/>
      <x:c r="V75" s="15"/>
      <x:c r="W75" s="20"/>
      <x:c r="X75" s="15"/>
      <x:c r="Y75" s="15"/>
    </x:row>
    <x:row r="76" ht="56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20"/>
      <x:c r="M76" s="15"/>
      <x:c r="N76" s="15"/>
      <x:c r="O76" s="15"/>
      <x:c r="P76" s="22"/>
      <x:c r="Q76" s="15"/>
      <x:c r="R76" s="15"/>
      <x:c r="S76" s="15"/>
      <x:c r="T76" s="15"/>
      <x:c r="U76" s="23"/>
      <x:c r="V76" s="15"/>
      <x:c r="W76" s="20"/>
      <x:c r="X76" s="15"/>
      <x:c r="Y76" s="15"/>
    </x:row>
    <x:row r="77" ht="56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20"/>
      <x:c r="M77" s="15"/>
      <x:c r="N77" s="15"/>
      <x:c r="O77" s="15"/>
      <x:c r="P77" s="22"/>
      <x:c r="Q77" s="15"/>
      <x:c r="R77" s="15"/>
      <x:c r="S77" s="15"/>
      <x:c r="T77" s="15"/>
      <x:c r="U77" s="23"/>
      <x:c r="V77" s="15"/>
      <x:c r="W77" s="20"/>
      <x:c r="X77" s="15"/>
      <x:c r="Y77" s="15"/>
    </x:row>
    <x:row r="78" ht="56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20"/>
      <x:c r="M78" s="15"/>
      <x:c r="N78" s="15"/>
      <x:c r="O78" s="15"/>
      <x:c r="P78" s="22"/>
      <x:c r="Q78" s="15"/>
      <x:c r="R78" s="15"/>
      <x:c r="S78" s="15"/>
      <x:c r="T78" s="15"/>
      <x:c r="U78" s="23"/>
      <x:c r="V78" s="15"/>
      <x:c r="W78" s="20"/>
      <x:c r="X78" s="15"/>
      <x:c r="Y78" s="15"/>
    </x:row>
    <x:row r="79" ht="56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20"/>
      <x:c r="M79" s="15"/>
      <x:c r="N79" s="15"/>
      <x:c r="O79" s="15"/>
      <x:c r="P79" s="22"/>
      <x:c r="Q79" s="15"/>
      <x:c r="R79" s="15"/>
      <x:c r="S79" s="15"/>
      <x:c r="T79" s="15"/>
      <x:c r="U79" s="23"/>
      <x:c r="V79" s="15"/>
      <x:c r="W79" s="20"/>
      <x:c r="X79" s="15"/>
      <x:c r="Y79" s="15"/>
    </x:row>
    <x:row r="80" ht="56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20"/>
      <x:c r="M80" s="15"/>
      <x:c r="N80" s="15"/>
      <x:c r="O80" s="15"/>
      <x:c r="P80" s="22"/>
      <x:c r="Q80" s="15"/>
      <x:c r="R80" s="15"/>
      <x:c r="S80" s="15"/>
      <x:c r="T80" s="15"/>
      <x:c r="U80" s="23"/>
      <x:c r="V80" s="15"/>
      <x:c r="W80" s="20"/>
      <x:c r="X80" s="15"/>
      <x:c r="Y80" s="15"/>
    </x:row>
    <x:row r="81" ht="56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20"/>
      <x:c r="M81" s="15"/>
      <x:c r="N81" s="15"/>
      <x:c r="O81" s="15"/>
      <x:c r="P81" s="22"/>
      <x:c r="Q81" s="15"/>
      <x:c r="R81" s="15"/>
      <x:c r="S81" s="15"/>
      <x:c r="T81" s="15"/>
      <x:c r="U81" s="23"/>
      <x:c r="V81" s="15"/>
      <x:c r="W81" s="20"/>
      <x:c r="X81" s="15"/>
      <x:c r="Y81" s="15"/>
    </x:row>
    <x:row r="82" ht="56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20"/>
      <x:c r="M82" s="15"/>
      <x:c r="N82" s="15"/>
      <x:c r="O82" s="15"/>
      <x:c r="P82" s="22"/>
      <x:c r="Q82" s="15"/>
      <x:c r="R82" s="15"/>
      <x:c r="S82" s="15"/>
      <x:c r="T82" s="15"/>
      <x:c r="U82" s="23"/>
      <x:c r="V82" s="15"/>
      <x:c r="W82" s="20"/>
      <x:c r="X82" s="15"/>
      <x:c r="Y82" s="15"/>
    </x:row>
    <x:row r="83" ht="56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20"/>
      <x:c r="M83" s="15"/>
      <x:c r="N83" s="15"/>
      <x:c r="O83" s="15"/>
      <x:c r="P83" s="22"/>
      <x:c r="Q83" s="15"/>
      <x:c r="R83" s="15"/>
      <x:c r="S83" s="15"/>
      <x:c r="T83" s="15"/>
      <x:c r="U83" s="23"/>
      <x:c r="V83" s="15"/>
      <x:c r="W83" s="20"/>
      <x:c r="X83" s="15"/>
      <x:c r="Y83" s="15"/>
    </x:row>
    <x:row r="84" ht="56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20"/>
      <x:c r="M84" s="15"/>
      <x:c r="N84" s="15"/>
      <x:c r="O84" s="15"/>
      <x:c r="P84" s="22"/>
      <x:c r="Q84" s="15"/>
      <x:c r="R84" s="15"/>
      <x:c r="S84" s="15"/>
      <x:c r="T84" s="15"/>
      <x:c r="U84" s="23"/>
      <x:c r="V84" s="15"/>
      <x:c r="W84" s="20"/>
      <x:c r="X84" s="15"/>
      <x:c r="Y84" s="15"/>
    </x:row>
    <x:row r="85" ht="56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20"/>
      <x:c r="M85" s="15"/>
      <x:c r="N85" s="15"/>
      <x:c r="O85" s="15"/>
      <x:c r="P85" s="22"/>
      <x:c r="Q85" s="15"/>
      <x:c r="R85" s="15"/>
      <x:c r="S85" s="15"/>
      <x:c r="T85" s="15"/>
      <x:c r="U85" s="23"/>
      <x:c r="V85" s="15"/>
      <x:c r="W85" s="20"/>
      <x:c r="X85" s="15"/>
      <x:c r="Y85" s="15"/>
    </x:row>
    <x:row r="86" ht="56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20"/>
      <x:c r="M86" s="15"/>
      <x:c r="N86" s="15"/>
      <x:c r="O86" s="15"/>
      <x:c r="P86" s="22"/>
      <x:c r="Q86" s="15"/>
      <x:c r="R86" s="15"/>
      <x:c r="S86" s="15"/>
      <x:c r="T86" s="15"/>
      <x:c r="U86" s="23"/>
      <x:c r="V86" s="15"/>
      <x:c r="W86" s="20"/>
      <x:c r="X86" s="15"/>
      <x:c r="Y86" s="15"/>
    </x:row>
    <x:row r="87" ht="56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20"/>
      <x:c r="M87" s="15"/>
      <x:c r="N87" s="15"/>
      <x:c r="O87" s="15"/>
      <x:c r="P87" s="22"/>
      <x:c r="Q87" s="15"/>
      <x:c r="R87" s="15"/>
      <x:c r="S87" s="15"/>
      <x:c r="T87" s="15"/>
      <x:c r="U87" s="23"/>
      <x:c r="V87" s="15"/>
      <x:c r="W87" s="20"/>
      <x:c r="X87" s="15"/>
      <x:c r="Y87" s="15"/>
    </x:row>
  </x:sheetData>
  <x:dataValidations count="3">
    <x:dataValidation type="list" sqref="B10:B87">
      <x:formula1>"신규 후보,보완,보류"</x:formula1>
    </x:dataValidation>
    <x:dataValidation type="list" sqref="G10:G87">
      <x:formula1>"쇼핑,식사,카페,명소,문화,자연,체험·오락,미정"</x:formula1>
    </x:dataValidation>
    <x:dataValidation type="list" sqref="T10:T87">
      <x:formula1>"실내,야외,혼합,미확인"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43bd5ddb744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34" hidden="0" customWidth="1"/>
    <x:col min="3" max="3" width="52" hidden="0" customWidth="1"/>
    <x:col min="4" max="4" width="47" hidden="0" customWidth="1"/>
    <x:col min="5" max="5" width="75" hidden="0" customWidth="1"/>
    <x:col min="6" max="6" width="65" hidden="0" customWidth="1"/>
  </x:cols>
  <x:sheetData>
    <x:row r="1" ht="27" customHeight="1">
      <x:c r="A1" s="24"/>
      <x:c r="B1" s="24"/>
      <x:c r="C1" s="24"/>
      <x:c r="D1" s="24"/>
      <x:c r="E1" s="24"/>
      <x:c r="F1" s="24"/>
    </x:row>
    <x:row r="2" ht="27" customHeight="1">
      <x:c r="A2" s="25" t="str">
        <x:v>기존150곳과 중복 등록하지 않을 기록</x:v>
      </x:c>
      <x:c r="B2" s="24"/>
      <x:c r="C2" s="24"/>
      <x:c r="D2" s="24"/>
      <x:c r="E2" s="24"/>
      <x:c r="F2" s="24"/>
    </x:row>
    <x:row r="3" ht="27" customHeight="1">
      <x:c r="A3" s="24" t="str">
        <x:v>보완3건은 기존 장소 ID를 유지해요. 건물·입점 매장 관계는 주소가 같아도 무조건 동일 지점으로 합치지 않아요.</x:v>
      </x:c>
      <x:c r="B3" s="24"/>
      <x:c r="C3" s="24"/>
      <x:c r="D3" s="24"/>
      <x:c r="E3" s="24"/>
      <x:c r="F3" s="24"/>
    </x:row>
    <x:row r="4" ht="27" customHeight="1">
      <x:c r="A4" s="24" t="str">
        <x:v>기존 통합 CSV와 작성 중인 양식은 변경하지 않았어요. 이 수집표는 아직 API·일정 엔진에 반영하지 않았어요.</x:v>
      </x:c>
      <x:c r="B4" s="24"/>
      <x:c r="C4" s="24"/>
      <x:c r="D4" s="24"/>
      <x:c r="E4" s="24"/>
      <x:c r="F4" s="24"/>
    </x:row>
    <x:row r="5" ht="27" customHeight="1">
      <x:c r="A5" s="24"/>
      <x:c r="B5" s="24"/>
      <x:c r="C5" s="24"/>
      <x:c r="D5" s="24"/>
      <x:c r="E5" s="24"/>
      <x:c r="F5" s="24"/>
    </x:row>
    <x:row r="6" ht="48" customHeight="1">
      <x:c r="A6" s="10" t="str">
        <x:v>기존 장소 ID</x:v>
      </x:c>
      <x:c r="B6" s="10" t="str">
        <x:v>기존 표시 이름</x:v>
      </x:c>
      <x:c r="C6" s="10" t="str">
        <x:v>기존 주소</x:v>
      </x:c>
      <x:c r="D6" s="10" t="str">
        <x:v>이번 표시 이름</x:v>
      </x:c>
      <x:c r="E6" s="10" t="str">
        <x:v>처리·관계</x:v>
      </x:c>
      <x:c r="F6" s="10" t="str">
        <x:v>이번 출처</x:v>
      </x:c>
    </x:row>
    <x:row r="7" ht="118" customHeight="1">
      <x:c r="A7" s="31" t="str">
        <x:v>osaka_026</x:v>
      </x:c>
      <x:c r="B7" s="31" t="str">
        <x:v>이치란 도톤보리 별관</x:v>
      </x:c>
      <x:c r="C7" s="31" t="str">
        <x:v>大阪市中央区道頓堀1-4-16</x:v>
      </x:c>
      <x:c r="D7" s="31" t="str">
        <x:v>이치란 도톤보리 별관</x:v>
      </x:c>
      <x:c r="E7" s="31" t="str">
        <x:v>표시 이름 유지. 기존 ID 보완 제안이며 자동 적용하지 않음.</x:v>
      </x:c>
      <x:c r="F7" s="31" t="str">
        <x:v>https://ichiran.com/shop/kinki/dotonbori-south/</x:v>
      </x:c>
    </x:row>
    <x:row r="8" ht="118" customHeight="1">
      <x:c r="A8" s="31" t="str">
        <x:v>osaka_022</x:v>
      </x:c>
      <x:c r="B8" s="31" t="str">
        <x:v>다이마루 신사이바시점</x:v>
      </x:c>
      <x:c r="C8" s="31" t="str">
        <x:v>大阪府大阪市中央区心斎橋筋1-7-1</x:v>
      </x:c>
      <x:c r="D8" s="31" t="str">
        <x:v>다이마루 신사이바시점 본관</x:v>
      </x:c>
      <x:c r="E8" s="31" t="str">
        <x:v>이름 변경 제안: 다이마루 신사이바시점 → 다이마루 신사이바시점 본관. 검토 필요, 자동 적용하지 않음.</x:v>
      </x:c>
      <x:c r="F8" s="31" t="str">
        <x:v>https://www.daimaru.co.jp/shinsaibashi/hours.html</x:v>
      </x:c>
    </x:row>
    <x:row r="9" ht="118" customHeight="1">
      <x:c r="A9" s="31" t="str">
        <x:v>osaka_draft_f1ba0aa6ab58</x:v>
      </x:c>
      <x:c r="B9" s="31" t="str">
        <x:v>한큐 백화점 우메다 본점</x:v>
      </x:c>
      <x:c r="C9" s="31" t="str">
        <x:v>大阪府大阪市北区角田町8番7号</x:v>
      </x:c>
      <x:c r="D9" s="31" t="str">
        <x:v>한큐 우메다 본점</x:v>
      </x:c>
      <x:c r="E9" s="31" t="str">
        <x:v>이름 변경 제안: 한큐 백화점 우메다 본점 → 한큐 우메다 본점. 검토 필요, 자동 적용하지 않음.</x:v>
      </x:c>
      <x:c r="F9" s="31" t="str">
        <x:v>https://www.hankyu-dept.co.jp/honten/map/index.html</x:v>
      </x:c>
    </x:row>
    <x:row r="10" ht="27" customHeight="1">
      <x:c r="A10" s="24"/>
      <x:c r="B10" s="24"/>
      <x:c r="C10" s="24"/>
      <x:c r="D10" s="24"/>
      <x:c r="E10" s="24"/>
      <x:c r="F10" s="24"/>
    </x:row>
  </x:sheetData>
  <x:pageMargins left="0.7" right="0.7" top="0.75" bottom="0.75" header="0.3" footer="0.3"/>
  <x:tableParts count="1">
    <x:tablePart xmlns:r="http://schemas.openxmlformats.org/officeDocument/2006/relationships" r:id="R517e360caf5944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31" hidden="0" customWidth="1"/>
    <x:col min="3" max="3" width="35" hidden="0" customWidth="1"/>
    <x:col min="4" max="4" width="52" hidden="0" customWidth="1"/>
    <x:col min="5" max="5" width="70" hidden="0" customWidth="1"/>
    <x:col min="6" max="6" width="65" hidden="0" customWidth="1"/>
    <x:col min="7" max="7" width="65" hidden="0" customWidth="1"/>
    <x:col min="8" max="8" width="19" hidden="0" customWidth="1"/>
  </x:cols>
  <x:sheetData>
    <x:row r="1" ht="27" customHeight="1">
      <x:c r="A1" s="24"/>
      <x:c r="B1" s="24"/>
      <x:c r="C1" s="24"/>
      <x:c r="D1" s="24"/>
      <x:c r="E1" s="24"/>
      <x:c r="F1" s="24"/>
      <x:c r="G1" s="24"/>
      <x:c r="H1" s="24"/>
    </x:row>
    <x:row r="2" ht="27" customHeight="1">
      <x:c r="A2" s="25" t="str">
        <x:v>영업·지점 확인이 남은 요청 장소</x:v>
      </x:c>
      <x:c r="B2" s="24"/>
      <x:c r="C2" s="24"/>
      <x:c r="D2" s="24"/>
      <x:c r="E2" s="24"/>
      <x:c r="F2" s="24"/>
      <x:c r="G2" s="24"/>
      <x:c r="H2" s="24"/>
    </x:row>
    <x:row r="3" ht="27" customHeight="1">
      <x:c r="A3" s="24" t="str">
        <x:v>이 탭은 활성 수집 후보58건과 별개예요. 폐점·지점 미확인을 영업 중인 새 장소로 추가하지 않아요.</x:v>
      </x:c>
      <x:c r="B3" s="24"/>
      <x:c r="C3" s="24"/>
      <x:c r="D3" s="24"/>
      <x:c r="E3" s="24"/>
      <x:c r="F3" s="24"/>
      <x:c r="G3" s="24"/>
      <x:c r="H3" s="24"/>
    </x:row>
    <x:row r="4" ht="27" customHeight="1">
      <x:c r="A4" s="24"/>
      <x:c r="B4" s="24"/>
      <x:c r="C4" s="24"/>
      <x:c r="D4" s="24"/>
      <x:c r="E4" s="24"/>
      <x:c r="F4" s="24"/>
      <x:c r="G4" s="24"/>
      <x:c r="H4" s="24"/>
    </x:row>
    <x:row r="5" ht="27" customHeight="1">
      <x:c r="A5" s="24"/>
      <x:c r="B5" s="24"/>
      <x:c r="C5" s="24"/>
      <x:c r="D5" s="24"/>
      <x:c r="E5" s="24"/>
      <x:c r="F5" s="24"/>
      <x:c r="G5" s="24"/>
      <x:c r="H5" s="24"/>
    </x:row>
    <x:row r="6" ht="48" customHeight="1">
      <x:c r="A6" s="10" t="str">
        <x:v>표시 이름</x:v>
      </x:c>
      <x:c r="B6" s="10" t="str">
        <x:v>공식 이름</x:v>
      </x:c>
      <x:c r="C6" s="10" t="str">
        <x:v>현재 처리</x:v>
      </x:c>
      <x:c r="D6" s="10" t="str">
        <x:v>주소</x:v>
      </x:c>
      <x:c r="E6" s="10" t="str">
        <x:v>이유·확인 범위</x:v>
      </x:c>
      <x:c r="F6" s="10" t="str">
        <x:v>다음 확인</x:v>
      </x:c>
      <x:c r="G6" s="10" t="str">
        <x:v>출처 URL</x:v>
      </x:c>
      <x:c r="H6" s="10" t="str">
        <x:v>자료 확인일</x:v>
      </x:c>
    </x:row>
    <x:row r="7" ht="118" customHeight="1">
      <x:c r="A7" s="31" t="str">
        <x:v>라파 오사카 클럽하우스</x:v>
      </x:c>
      <x:c r="B7" s="31" t="str">
        <x:v>Rapha Osaka Clubhouse</x:v>
      </x:c>
      <x:c r="C7" s="31" t="str">
        <x:v>영구 폐점 안내 / 활성 후보 제외</x:v>
      </x:c>
      <x:c r="D7" s="31" t="str">
        <x:v>大阪府大阪市北区曾根崎新地2-6-21 (이전 주소)</x:v>
      </x:c>
      <x:c r="E7" s="31" t="str">
        <x:v>공식 검색 결과에 Closed 및 영구 폐점 안내가 있음. 원문 재접속은 실패. 폐점 연도는 추정하지 않음.</x:v>
      </x:c>
      <x:c r="F7" s="31" t="str">
        <x:v>다른 Rapha 취급점을 추가하려면 현재 공식 취급점·지점을 별도로 확인. 기존 점포를 영업 중으로 등록하지 않음.</x:v>
      </x:c>
      <x:c r="G7" s="31" t="str">
        <x:v>https://content.rapha.cc/ch/de/clubhouses/osaka</x:v>
      </x:c>
      <x:c r="H7" s="32" t="d">
        <x:v>2026-10-19T00:00:00.000Z</x:v>
      </x:c>
    </x:row>
    <x:row r="8" ht="155" customHeight="1">
      <x:c r="A8" s="31" t="str">
        <x:v>이치란 도톤보리 본관 (기존 기록)</x:v>
      </x:c>
      <x:c r="B8" s="31" t="str">
        <x:v>一蘭 道頓堀店本館</x:v>
      </x:c>
      <x:c r="C8" s="31" t="str">
        <x:v>기존 영업·지점 확인 보류</x:v>
      </x:c>
      <x:c r="D8" s="31" t="str">
        <x:v>大阪府大阪市中央区宗右衛門町7-18</x:v>
      </x:c>
      <x:c r="E8" s="31" t="str">
        <x:v>기존 ID osm_node_2546559085 보존. 공식 목록에 없는 것만으로 폐업 확정하지 않음. 별관과 합치지 않음.</x:v>
      </x:c>
      <x:c r="F8" s="31" t="str">
        <x:v>현재 운영 여부·정확한 지점·입구를 확인한 뒤 기존 ID를 유지하여 보완. 본관 동일성 확인 및 보류 해제 시 표시 이름을 이치란 도톤보리 본관으로 변경 제안하고 별도 검토.</x:v>
      </x:c>
      <x:c r="G8" s="31" t="str">
        <x:v>https://ichiran.com/shop/area-kinki.html</x:v>
      </x:c>
      <x:c r="H8" s="32" t="d">
        <x:v>2026-10-19T00:00:00.000Z</x:v>
      </x:c>
    </x:row>
    <x:row r="9" ht="27" customHeight="1">
      <x:c r="A9" s="24"/>
      <x:c r="B9" s="24"/>
      <x:c r="C9" s="24"/>
      <x:c r="D9" s="24"/>
      <x:c r="E9" s="24"/>
      <x:c r="F9" s="24"/>
      <x:c r="G9" s="24"/>
      <x:c r="H9" s="24"/>
    </x:row>
  </x:sheetData>
  <x:pageMargins left="0.7" right="0.7" top="0.75" bottom="0.75" header="0.3" footer="0.3"/>
  <x:tableParts count="1">
    <x:tablePart xmlns:r="http://schemas.openxmlformats.org/officeDocument/2006/relationships" r:id="R2be0c86190014881"/>
  </x:tableParts>
</x:worksheet>
</file>